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gayat\Desktop\Day3_Job_Market_Dashboard\excel_dashboard\"/>
    </mc:Choice>
  </mc:AlternateContent>
  <xr:revisionPtr revIDLastSave="0" documentId="8_{3FA55AE6-D344-41EA-A723-088BB2275395}" xr6:coauthVersionLast="47" xr6:coauthVersionMax="47" xr10:uidLastSave="{00000000-0000-0000-0000-000000000000}"/>
  <bookViews>
    <workbookView xWindow="-90" yWindow="0" windowWidth="9780" windowHeight="10170" firstSheet="2" activeTab="3" xr2:uid="{15444C5D-30C5-4D8F-AB68-F8BD72A97500}"/>
  </bookViews>
  <sheets>
    <sheet name="cleaned_job_market_2025" sheetId="1" r:id="rId1"/>
    <sheet name="Raw_Data" sheetId="2" r:id="rId2"/>
    <sheet name="Pivot_Table" sheetId="3" r:id="rId3"/>
    <sheet name="Dashboard" sheetId="4" r:id="rId4"/>
  </sheets>
  <calcPr calcId="0"/>
  <pivotCaches>
    <pivotCache cacheId="17" r:id="rId5"/>
  </pivotCaches>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4" i="4" l="1"/>
  <c r="J4" i="4"/>
  <c r="F4" i="4"/>
  <c r="B4" i="4"/>
</calcChain>
</file>

<file path=xl/sharedStrings.xml><?xml version="1.0" encoding="utf-8"?>
<sst xmlns="http://schemas.openxmlformats.org/spreadsheetml/2006/main" count="22746" uniqueCount="2739">
  <si>
    <t>job_title</t>
  </si>
  <si>
    <t>seniority_level</t>
  </si>
  <si>
    <t>status</t>
  </si>
  <si>
    <t>company</t>
  </si>
  <si>
    <t>location</t>
  </si>
  <si>
    <t>post_date</t>
  </si>
  <si>
    <t>headquarter</t>
  </si>
  <si>
    <t>industry</t>
  </si>
  <si>
    <t>ownership</t>
  </si>
  <si>
    <t>company_size</t>
  </si>
  <si>
    <t>revenue</t>
  </si>
  <si>
    <t>salary</t>
  </si>
  <si>
    <t>skills</t>
  </si>
  <si>
    <t>days_ago</t>
  </si>
  <si>
    <t>salary_numeric</t>
  </si>
  <si>
    <t>data scientist</t>
  </si>
  <si>
    <t>senior</t>
  </si>
  <si>
    <t>hybrid</t>
  </si>
  <si>
    <t>company_003</t>
  </si>
  <si>
    <t>Grapevine, TX . Hybrid</t>
  </si>
  <si>
    <t>17 days ago</t>
  </si>
  <si>
    <t>Bentonville, AR, US</t>
  </si>
  <si>
    <t>Retail</t>
  </si>
  <si>
    <t>Public</t>
  </si>
  <si>
    <t>â‚¬352.44B</t>
  </si>
  <si>
    <t>â‚¬100,472 - â‚¬200,938</t>
  </si>
  <si>
    <t>['spark', 'r', 'python', 'scala', 'machine learning', 'tensorflow']</t>
  </si>
  <si>
    <t>lead</t>
  </si>
  <si>
    <t>company_005</t>
  </si>
  <si>
    <t>Fort Worth, TX . Hybrid</t>
  </si>
  <si>
    <t>15 days ago</t>
  </si>
  <si>
    <t>Detroit, MI, US</t>
  </si>
  <si>
    <t>Manufacturing</t>
  </si>
  <si>
    <t>â‚¬51.10B</t>
  </si>
  <si>
    <t>â‚¬118,733</t>
  </si>
  <si>
    <t>['spark', 'r', 'python', 'sql', 'machine learning']</t>
  </si>
  <si>
    <t>on-site</t>
  </si>
  <si>
    <t>company_007</t>
  </si>
  <si>
    <t>Austin, TX . Toronto, Ontario, Canada . Kirkland, WA . Orlando, FL . Edmonton, Alberta, Canada + 1 More</t>
  </si>
  <si>
    <t>a month ago</t>
  </si>
  <si>
    <t>Redwood City, CA, US</t>
  </si>
  <si>
    <t>Technology</t>
  </si>
  <si>
    <t>â‚¬33.80B</t>
  </si>
  <si>
    <t>â‚¬94,987 - â‚¬159,559</t>
  </si>
  <si>
    <t>['aws', 'git', 'python', 'docker', 'sql', 'machine learning', 'gcp', 'kubernetes', 'deep learning']</t>
  </si>
  <si>
    <t>company_008</t>
  </si>
  <si>
    <t>Chicago, IL . Scottsdale, AZ . Austin, TX . Hybrid</t>
  </si>
  <si>
    <t>8 days ago</t>
  </si>
  <si>
    <t>San Jose, CA, US</t>
  </si>
  <si>
    <t>â‚¬81.71B</t>
  </si>
  <si>
    <t>â‚¬112,797 - â‚¬194,402</t>
  </si>
  <si>
    <t>['sql', 'r', 'python']</t>
  </si>
  <si>
    <t>Not Specified</t>
  </si>
  <si>
    <t>company_009</t>
  </si>
  <si>
    <t>On-site</t>
  </si>
  <si>
    <t>3 days ago</t>
  </si>
  <si>
    <t>Stamford, CT, US</t>
  </si>
  <si>
    <t>Finance</t>
  </si>
  <si>
    <t>Private</t>
  </si>
  <si>
    <t>â‚¬114,172 - â‚¬228,337</t>
  </si>
  <si>
    <t>[]</t>
  </si>
  <si>
    <t>Unknown</t>
  </si>
  <si>
    <t>company_013</t>
  </si>
  <si>
    <t>New York, NY</t>
  </si>
  <si>
    <t>3 months ago</t>
  </si>
  <si>
    <t>New York, NY, US</t>
  </si>
  <si>
    <t>â‚¬2.16B</t>
  </si>
  <si>
    <t>â‚¬196,371 - â‚¬251,170</t>
  </si>
  <si>
    <t>['scikit-learn', 'python', 'scala', 'sql', 'machine learning', 'tensorflow']</t>
  </si>
  <si>
    <t>junior</t>
  </si>
  <si>
    <t>company_014</t>
  </si>
  <si>
    <t>Berkeley, CA</t>
  </si>
  <si>
    <t>Berkeley, CA, US</t>
  </si>
  <si>
    <t>Education</t>
  </si>
  <si>
    <t>â‚¬51,330 - â‚¬70,144</t>
  </si>
  <si>
    <t>machine learning engineer</t>
  </si>
  <si>
    <t>company_015</t>
  </si>
  <si>
    <t>Menlo Park, CA</t>
  </si>
  <si>
    <t>9 days ago</t>
  </si>
  <si>
    <t>Menlo Park, CA, US</t>
  </si>
  <si>
    <t>â‚¬121,480 - â‚¬132,440</t>
  </si>
  <si>
    <t>['machine learning']</t>
  </si>
  <si>
    <t>remote</t>
  </si>
  <si>
    <t>company_019</t>
  </si>
  <si>
    <t>Fully Remote</t>
  </si>
  <si>
    <t>6 days ago</t>
  </si>
  <si>
    <t>Boston, MA, US</t>
  </si>
  <si>
    <t>â‚¬207,331</t>
  </si>
  <si>
    <t>company_021</t>
  </si>
  <si>
    <t>a day ago</t>
  </si>
  <si>
    <t>San Francisco, CA, US</t>
  </si>
  <si>
    <t>â‚¬61.06B</t>
  </si>
  <si>
    <t>â‚¬219,201</t>
  </si>
  <si>
    <t>company_022</t>
  </si>
  <si>
    <t>Atlanta, GA</t>
  </si>
  <si>
    <t>Charlotte, NC, US</t>
  </si>
  <si>
    <t>â‚¬128.13B</t>
  </si>
  <si>
    <t>â‚¬96,815</t>
  </si>
  <si>
    <t>['pytorch', 'r', 'python', 'sql', 'machine learning', 'keras', 'deep learning', 'tensorflow']</t>
  </si>
  <si>
    <t>midlevel</t>
  </si>
  <si>
    <t>company_027</t>
  </si>
  <si>
    <t>Greater Vancouver Metropolitan Area</t>
  </si>
  <si>
    <t>Vancouver, BC, CA</t>
  </si>
  <si>
    <t>â‚¬62,697 - â‚¬89,293</t>
  </si>
  <si>
    <t>['java', 'git', 'python']</t>
  </si>
  <si>
    <t>company_029</t>
  </si>
  <si>
    <t>Minneapolis, MN . Fully Remote</t>
  </si>
  <si>
    <t>Golden Valley, MN, US</t>
  </si>
  <si>
    <t>â‚¬43.18B</t>
  </si>
  <si>
    <t>â‚¬99,464 - â‚¬165,954</t>
  </si>
  <si>
    <t>['sql', 'machine learning', 'python']</t>
  </si>
  <si>
    <t>company_031</t>
  </si>
  <si>
    <t>Titusville, NJ . Titusville, New Jersey, United States</t>
  </si>
  <si>
    <t>19 days ago</t>
  </si>
  <si>
    <t>New Brunswick, NJ, US</t>
  </si>
  <si>
    <t>Healthcare</t>
  </si>
  <si>
    <t>â‚¬413.02B</t>
  </si>
  <si>
    <t>â‚¬112,343 - â‚¬117,823</t>
  </si>
  <si>
    <t>['sql', 'machine learning', 'r', 'python']</t>
  </si>
  <si>
    <t>company_034</t>
  </si>
  <si>
    <t>Arlington, VA</t>
  </si>
  <si>
    <t>Baltimore, MD, US</t>
  </si>
  <si>
    <t>â‚¬127,867 - â‚¬150,700</t>
  </si>
  <si>
    <t>['pandas', 'powerbi', 'python', 'java', 'sql', 'machine learning', 'tableau']</t>
  </si>
  <si>
    <t>company_037</t>
  </si>
  <si>
    <t>14 days ago</t>
  </si>
  <si>
    <t>â‚¬134,266</t>
  </si>
  <si>
    <t>company_038</t>
  </si>
  <si>
    <t>Bengaluru, Karnataka, India</t>
  </si>
  <si>
    <t>Kista, SE</t>
  </si>
  <si>
    <t>â‚¬17.41B</t>
  </si>
  <si>
    <t>â‚¬52,746</t>
  </si>
  <si>
    <t>['spark', 'aws', 'r', 'python', 'machine learning', 'gcp', 'deep learning', 'hadoop', 'azure']</t>
  </si>
  <si>
    <t>company_039</t>
  </si>
  <si>
    <t>Charlotte, NC . On-site</t>
  </si>
  <si>
    <t>â‚¬163.38B</t>
  </si>
  <si>
    <t>â‚¬126,956 - â‚¬198,196</t>
  </si>
  <si>
    <t>['aws', 'r', 'python', 'sql', 'machine learning', 'azure', 'tableau']</t>
  </si>
  <si>
    <t>company_040</t>
  </si>
  <si>
    <t>13 days ago</t>
  </si>
  <si>
    <t>â‚¬1.29B</t>
  </si>
  <si>
    <t>â‚¬185,412 - â‚¬228,338</t>
  </si>
  <si>
    <t>company_041</t>
  </si>
  <si>
    <t>Basel, Basel, Switzerland</t>
  </si>
  <si>
    <t>BS, CH</t>
  </si>
  <si>
    <t>â‚¬247.18B</t>
  </si>
  <si>
    <t>â‚¬80,123</t>
  </si>
  <si>
    <t>['pytorch', 'python', 'machine learning', 'deep learning', 'tensorflow']</t>
  </si>
  <si>
    <t>company_043</t>
  </si>
  <si>
    <t>Toronto, Ontario, Canada . On-site</t>
  </si>
  <si>
    <t>Toronto, ON, CA</t>
  </si>
  <si>
    <t>â‚¬72,611</t>
  </si>
  <si>
    <t>['pytorch', 'spark', 'git', 'r', 'python', 'sql', 'machine learning', 'tensorflow']</t>
  </si>
  <si>
    <t>company_044</t>
  </si>
  <si>
    <t>Findlay, OH . Denver, CO . San Antonio, TX</t>
  </si>
  <si>
    <t>Findlay, OH, US</t>
  </si>
  <si>
    <t>Energy</t>
  </si>
  <si>
    <t>â‚¬51.40B</t>
  </si>
  <si>
    <t>â‚¬95,265 - â‚¬164,221</t>
  </si>
  <si>
    <t>['pytorch', 'scikit-learn', 'python', 'machine learning', 'deep learning', 'tensorflow']</t>
  </si>
  <si>
    <t>company_045</t>
  </si>
  <si>
    <t>Toronto, Ontario, Canada</t>
  </si>
  <si>
    <t>â‚¬85,044</t>
  </si>
  <si>
    <t>['airflow', 'spark', 'machine learning', 'python']</t>
  </si>
  <si>
    <t>company_046</t>
  </si>
  <si>
    <t>San Francisco, CA</t>
  </si>
  <si>
    <t>â‚¬913.33M</t>
  </si>
  <si>
    <t>â‚¬146,141 - â‚¬210,074</t>
  </si>
  <si>
    <t>company_047</t>
  </si>
  <si>
    <t>Bengaluru, KA, IN</t>
  </si>
  <si>
    <t>â‚¬24.36B</t>
  </si>
  <si>
    <t>â‚¬10,049</t>
  </si>
  <si>
    <t>['deep learning', 'machine learning']</t>
  </si>
  <si>
    <t>company_048</t>
  </si>
  <si>
    <t>Remote, US . Fully Remote</t>
  </si>
  <si>
    <t>â‚¬1.49B</t>
  </si>
  <si>
    <t>â‚¬91,335 - â‚¬109,601</t>
  </si>
  <si>
    <t>company_049</t>
  </si>
  <si>
    <t>Huntsville, AL . Merritt Island, FL . Seattle, WA</t>
  </si>
  <si>
    <t>Kent, WA, US</t>
  </si>
  <si>
    <t>â‚¬125,171 - â‚¬175,240</t>
  </si>
  <si>
    <t>['aws', 'git', 'r', 'python', 'docker', 'machine learning', 'kubernetes', 'deep learning', 'azure']</t>
  </si>
  <si>
    <t>company_050</t>
  </si>
  <si>
    <t>â‚¬3.45B</t>
  </si>
  <si>
    <t>â‚¬150,707</t>
  </si>
  <si>
    <t>company_051</t>
  </si>
  <si>
    <t>Laurel, MD</t>
  </si>
  <si>
    <t>Laurel, MD, US</t>
  </si>
  <si>
    <t>â‚¬210,071</t>
  </si>
  <si>
    <t>['python']</t>
  </si>
  <si>
    <t>company_052</t>
  </si>
  <si>
    <t>Amsterdam, North Holland, Netherlands</t>
  </si>
  <si>
    <t>â‚¬53.20B</t>
  </si>
  <si>
    <t>â‚¬72,515</t>
  </si>
  <si>
    <t>company_054</t>
  </si>
  <si>
    <t>Richmond, VA . On-site</t>
  </si>
  <si>
    <t>7 days ago</t>
  </si>
  <si>
    <t>Washington, DC, US</t>
  </si>
  <si>
    <t>â‚¬29.92B</t>
  </si>
  <si>
    <t>â‚¬112,288</t>
  </si>
  <si>
    <t>['machine learning', 'python']</t>
  </si>
  <si>
    <t>company_057</t>
  </si>
  <si>
    <t>Seattle, WA . Hybrid</t>
  </si>
  <si>
    <t>25 days ago</t>
  </si>
  <si>
    <t>Seattle, WA, US</t>
  </si>
  <si>
    <t>â‚¬132,437</t>
  </si>
  <si>
    <t>['r', 'python', 'sql', 'machine learning', 'tableau']</t>
  </si>
  <si>
    <t>company_061</t>
  </si>
  <si>
    <t>Manchester, England, United Kingdom . Hybrid</t>
  </si>
  <si>
    <t>Manchester, GB</t>
  </si>
  <si>
    <t>â‚¬45,669 - â‚¬63,936</t>
  </si>
  <si>
    <t>['spark', 'python', 'airflow', 'sql', 'machine learning']</t>
  </si>
  <si>
    <t>â‚¬30.07B</t>
  </si>
  <si>
    <t>â‚¬112,291</t>
  </si>
  <si>
    <t>company_065</t>
  </si>
  <si>
    <t>Cherry Hill, NJ, US</t>
  </si>
  <si>
    <t>â‚¬83,298 - â‚¬124,946</t>
  </si>
  <si>
    <t>['pandas', 'numpy', 'scikit-learn', 'python', 'sql', 'azure', 'tableau']</t>
  </si>
  <si>
    <t>company_066</t>
  </si>
  <si>
    <t>Foster City, CA . Hybrid</t>
  </si>
  <si>
    <t>3 years ago</t>
  </si>
  <si>
    <t>Foster City, CA, US</t>
  </si>
  <si>
    <t>â‚¬198,201 - â‚¬269,440</t>
  </si>
  <si>
    <t>company_067</t>
  </si>
  <si>
    <t>San Francisco, CA, US . Seattle, WA, US . Hybrid</t>
  </si>
  <si>
    <t>â‚¬14.35B</t>
  </si>
  <si>
    <t>â‚¬260,211</t>
  </si>
  <si>
    <t>company_069</t>
  </si>
  <si>
    <t>United States</t>
  </si>
  <si>
    <t>Chicago, IL, US</t>
  </si>
  <si>
    <t>â‚¬114,355</t>
  </si>
  <si>
    <t>['pytorch', 'spark', 'scikit-learn', 'python', 'neural network', 'machine learning', 'deep learning', 'tensorflow']</t>
  </si>
  <si>
    <t>company_071</t>
  </si>
  <si>
    <t>Cambridge, MA</t>
  </si>
  <si>
    <t>Cambridge, MA, US</t>
  </si>
  <si>
    <t>â‚¬144,311 - â‚¬198,198</t>
  </si>
  <si>
    <t>company_075</t>
  </si>
  <si>
    <t>20 days ago</t>
  </si>
  <si>
    <t>Atlanta, GA, US</t>
  </si>
  <si>
    <t>â‚¬49.86B</t>
  </si>
  <si>
    <t>â‚¬105,035</t>
  </si>
  <si>
    <t>['sql', 'machine learning', 'tableau', 'python']</t>
  </si>
  <si>
    <t>company_077</t>
  </si>
  <si>
    <t>United States . Fully Remote</t>
  </si>
  <si>
    <t>2 months ago</t>
  </si>
  <si>
    <t>Phoenix, AZ, US</t>
  </si>
  <si>
    <t>â‚¬155,272 - â‚¬164,406</t>
  </si>
  <si>
    <t>company_078</t>
  </si>
  <si>
    <t>San Diego, CA</t>
  </si>
  <si>
    <t>San Diego, CA, US</t>
  </si>
  <si>
    <t>â‚¬111.15B</t>
  </si>
  <si>
    <t>â‚¬140,661</t>
  </si>
  <si>
    <t>['pytorch', 'python', 'docker', 'sql', 'neural network', 'kubernetes', 'tensorflow']</t>
  </si>
  <si>
    <t>company_080</t>
  </si>
  <si>
    <t>Toronto, Ontario, Canada . Montreal, Quebec, Canada . Hybrid</t>
  </si>
  <si>
    <t>â‚¬73,739</t>
  </si>
  <si>
    <t>['machine learning', 'r', 'python']</t>
  </si>
  <si>
    <t>company_081</t>
  </si>
  <si>
    <t>New York, NY . Hybrid</t>
  </si>
  <si>
    <t>â‚¬4.67B</t>
  </si>
  <si>
    <t>â‚¬135,178 - â‚¬168,971</t>
  </si>
  <si>
    <t>company_084</t>
  </si>
  <si>
    <t>Cary, NC, US</t>
  </si>
  <si>
    <t>â‚¬29.17B</t>
  </si>
  <si>
    <t>â‚¬228,515</t>
  </si>
  <si>
    <t>company_089</t>
  </si>
  <si>
    <t>â‚¬137,007 - â‚¬159,840</t>
  </si>
  <si>
    <t>['aws', 'git', 'python', 'sql', 'machine learning']</t>
  </si>
  <si>
    <t>Seattle, WA</t>
  </si>
  <si>
    <t>â‚¬162,184 - â‚¬227,055</t>
  </si>
  <si>
    <t>['pandas', 'pytorch', 'aws', 'python', 'docker', 'machine learning', 'kubernetes', 'deep learning', 'azure', 'tensorflow']</t>
  </si>
  <si>
    <t>company_092</t>
  </si>
  <si>
    <t>McLean, VA . Hybrid</t>
  </si>
  <si>
    <t>â‚¬92,833 - â‚¬172,402</t>
  </si>
  <si>
    <t>['java', 'machine learning', 'r', 'python']</t>
  </si>
  <si>
    <t>company_093</t>
  </si>
  <si>
    <t>Seattle, Washington, United States . On-site</t>
  </si>
  <si>
    <t>12 days ago</t>
  </si>
  <si>
    <t>â‚¬210,070 - â‚¬228,336</t>
  </si>
  <si>
    <t>company_094</t>
  </si>
  <si>
    <t>Warsaw, Mazowieckie, Poland . Prague, Prague, Czechia . Kyiv, Kyiv City, Ukraine</t>
  </si>
  <si>
    <t>â‚¬67,594 - â‚¬86,774</t>
  </si>
  <si>
    <t>['pandas', 'pytorch', 'r', 'python', 'machine learning', 'tensorflow']</t>
  </si>
  <si>
    <t>company_095</t>
  </si>
  <si>
    <t>Sunnyvale, CA, US</t>
  </si>
  <si>
    <t>â‚¬123,307 - â‚¬191,806</t>
  </si>
  <si>
    <t>company_096</t>
  </si>
  <si>
    <t>San Francisco, California, United States . On-site</t>
  </si>
  <si>
    <t>â‚¬11.43B</t>
  </si>
  <si>
    <t>â‚¬219,199 - â‚¬273,999</t>
  </si>
  <si>
    <t>company_098</t>
  </si>
  <si>
    <t>Bangalore, Karnataka</t>
  </si>
  <si>
    <t>5 months ago</t>
  </si>
  <si>
    <t>â‚¬4.93B</t>
  </si>
  <si>
    <t>â‚¬41,302</t>
  </si>
  <si>
    <t>company_099</t>
  </si>
  <si>
    <t>Toronto, Ontario, Canada . Hybrid</t>
  </si>
  <si>
    <t>Calgary, AB, CA</t>
  </si>
  <si>
    <t>â‚¬27.92B</t>
  </si>
  <si>
    <t>â‚¬75,128 - â‚¬79,194</t>
  </si>
  <si>
    <t>['sql', 'tableau', 'python']</t>
  </si>
  <si>
    <t>company_100</t>
  </si>
  <si>
    <t>Rock Island, IL . On-site</t>
  </si>
  <si>
    <t>Hook, GB</t>
  </si>
  <si>
    <t>â‚¬77,667 - â‚¬129,442</t>
  </si>
  <si>
    <t>['scikit-learn', 'r', 'python', 'java', 'machine learning']</t>
  </si>
  <si>
    <t>company_101</t>
  </si>
  <si>
    <t>Cambridge, England, United Kingdom</t>
  </si>
  <si>
    <t>Cambridge, GB</t>
  </si>
  <si>
    <t>â‚¬31,175</t>
  </si>
  <si>
    <t>company_103</t>
  </si>
  <si>
    <t>Oregon, United States . Fully Remote</t>
  </si>
  <si>
    <t>4 days ago</t>
  </si>
  <si>
    <t>Beaverton, OR, US</t>
  </si>
  <si>
    <t>â‚¬133.03B</t>
  </si>
  <si>
    <t>â‚¬19,420 - â‚¬98,368</t>
  </si>
  <si>
    <t>['pandas', 'powerbi', 'r', 'python', 'sql', 'neural network', 'machine learning', 'deep learning', 'tableau']</t>
  </si>
  <si>
    <t>company_106</t>
  </si>
  <si>
    <t>Pune, Maharashtra, India</t>
  </si>
  <si>
    <t>KÃ¸benhavn, DK</t>
  </si>
  <si>
    <t>Logistics</t>
  </si>
  <si>
    <t>â‚¬34.17B</t>
  </si>
  <si>
    <t>â‚¬26,757</t>
  </si>
  <si>
    <t>['spark', 'aws', 'powerbi', 'python', 'docker', 'sql', 'machine learning', 'gcp', 'kubernetes', 'deep learning', 'azure']</t>
  </si>
  <si>
    <t>Denver, CO</t>
  </si>
  <si>
    <t>â‚¬137,005 - â‚¬159,838</t>
  </si>
  <si>
    <t>company_112</t>
  </si>
  <si>
    <t>â‚¬5.10B</t>
  </si>
  <si>
    <t>â‚¬148,808</t>
  </si>
  <si>
    <t>company_113</t>
  </si>
  <si>
    <t>Charlotte, NC</t>
  </si>
  <si>
    <t>Mooresville, NC, US</t>
  </si>
  <si>
    <t>â‚¬101,935 - â‚¬193,633</t>
  </si>
  <si>
    <t>['sql', 'deep learning', 'machine learning']</t>
  </si>
  <si>
    <t>company_115</t>
  </si>
  <si>
    <t>Bengaluru, Karnataka, India . Hybrid</t>
  </si>
  <si>
    <t>Frankfurt am Main, HE, DE</t>
  </si>
  <si>
    <t>â‚¬24,205</t>
  </si>
  <si>
    <t>['pytorch', 'aws', 'python', 'sql', 'gcp', 'azure', 'tensorflow']</t>
  </si>
  <si>
    <t>company_116</t>
  </si>
  <si>
    <t>Chennai, Tamil Nadu, India</t>
  </si>
  <si>
    <t>2 days ago</t>
  </si>
  <si>
    <t>Dearborn, MI, US</t>
  </si>
  <si>
    <t>â‚¬51.93B</t>
  </si>
  <si>
    <t>â‚¬13,886</t>
  </si>
  <si>
    <t>['pandas', 'numpy', 'pytorch', 'powerbi', 'git', 'scikit-learn', 'python', 'java', 'sql', 'neural network', 'gcp', 'machine learning', 'matplotlib', 'tensorflow']</t>
  </si>
  <si>
    <t>company_119</t>
  </si>
  <si>
    <t>Menlo Park, CA . On-site</t>
  </si>
  <si>
    <t>West Menlo Park, CA, US</t>
  </si>
  <si>
    <t>â‚¬7.94B</t>
  </si>
  <si>
    <t>â‚¬163,491 - â‚¬191,804</t>
  </si>
  <si>
    <t>â‚¬82,193 - â‚¬122,141</t>
  </si>
  <si>
    <t>['machine learning', 'database']</t>
  </si>
  <si>
    <t>company_121</t>
  </si>
  <si>
    <t>Remote, United States . Fully Remote</t>
  </si>
  <si>
    <t>â‚¬3.17B</t>
  </si>
  <si>
    <t>â‚¬134,541 - â‚¬174,088</t>
  </si>
  <si>
    <t>â‚¬77,671 - â‚¬129,446</t>
  </si>
  <si>
    <t>San Francisco, CA, US . Remote, US . Fully Remote</t>
  </si>
  <si>
    <t>â‚¬14.20B</t>
  </si>
  <si>
    <t>â‚¬306,623</t>
  </si>
  <si>
    <t>company_126</t>
  </si>
  <si>
    <t>â‚¬28,501</t>
  </si>
  <si>
    <t>â‚¬60.91B</t>
  </si>
  <si>
    <t>â‚¬255,732</t>
  </si>
  <si>
    <t>company_129</t>
  </si>
  <si>
    <t>â‚¬91,335 - â‚¬228,333</t>
  </si>
  <si>
    <t>Pittsburgh, PA</t>
  </si>
  <si>
    <t>â‚¬128.23B</t>
  </si>
  <si>
    <t>â‚¬96,819</t>
  </si>
  <si>
    <t>['python', 'java', 'sql', 'kubernetes', 'azure']</t>
  </si>
  <si>
    <t>company_134</t>
  </si>
  <si>
    <t>Seattle, WA . Seattle, Washington, Ã‰tats-Unis . Seattle, Washington, USA</t>
  </si>
  <si>
    <t>â‚¬832.86B</t>
  </si>
  <si>
    <t>['amazon', 'r', 'python', 'machine learning', 'deep learning']</t>
  </si>
  <si>
    <t>company_135</t>
  </si>
  <si>
    <t>Taipei, Taiwan . On-site</t>
  </si>
  <si>
    <t>TW</t>
  </si>
  <si>
    <t>â‚¬36,340</t>
  </si>
  <si>
    <t>company_137</t>
  </si>
  <si>
    <t>Denver, CO . Hybrid</t>
  </si>
  <si>
    <t>Denver, CO, US</t>
  </si>
  <si>
    <t>â‚¬138,833</t>
  </si>
  <si>
    <t>['spark', 'r', 'python', 'database', 'machine learning']</t>
  </si>
  <si>
    <t>company_141</t>
  </si>
  <si>
    <t>Fort Worth, TX</t>
  </si>
  <si>
    <t>Bethesda, MD, US</t>
  </si>
  <si>
    <t>â‚¬116.78B</t>
  </si>
  <si>
    <t>â‚¬100,470 - â‚¬132,436</t>
  </si>
  <si>
    <t>company_145</t>
  </si>
  <si>
    <t>Austin, Texas . Hybrid</t>
  </si>
  <si>
    <t>â‚¬200,936</t>
  </si>
  <si>
    <t>company_146</t>
  </si>
  <si>
    <t>Toronto, ON . Hybrid</t>
  </si>
  <si>
    <t>11 days ago</t>
  </si>
  <si>
    <t>â‚¬11.80B</t>
  </si>
  <si>
    <t>â‚¬153,442 - â‚¬210,981</t>
  </si>
  <si>
    <t>company_148</t>
  </si>
  <si>
    <t>Orlando, FL</t>
  </si>
  <si>
    <t>5 days ago</t>
  </si>
  <si>
    <t>â‚¬55.90B</t>
  </si>
  <si>
    <t>â‚¬88,185</t>
  </si>
  <si>
    <t>['spark', 'r', 'python', 'sql', 'hadoop', 'machine learning']</t>
  </si>
  <si>
    <t>company_153</t>
  </si>
  <si>
    <t>â‚¬203,676 - â‚¬253,909</t>
  </si>
  <si>
    <t>['pytorch', 'spark', 'aws', 'scikit-learn', 'python', 'docker', 'deep learning', 'java', 'sql', 'machine learning', 'gcp', 'kubernetes', 'hadoop', 'azure', 'tensorflow']</t>
  </si>
  <si>
    <t>company_155</t>
  </si>
  <si>
    <t>All, MO</t>
  </si>
  <si>
    <t>â‚¬146,133 - â‚¬182,666</t>
  </si>
  <si>
    <t>['aws', 'scikit-learn', 'python', 'sql', 'machine learning', 'tensorflow']</t>
  </si>
  <si>
    <t>company_156</t>
  </si>
  <si>
    <t>Mountain View, California (HQ) . On-site</t>
  </si>
  <si>
    <t>Mountain View, CA, US</t>
  </si>
  <si>
    <t>â‚¬8.10B</t>
  </si>
  <si>
    <t>â‚¬138,826 - â‚¬208,239</t>
  </si>
  <si>
    <t>company_158</t>
  </si>
  <si>
    <t>Reston, VA</t>
  </si>
  <si>
    <t>Falls Church, VA, US</t>
  </si>
  <si>
    <t>â‚¬167,600 - â‚¬225,989</t>
  </si>
  <si>
    <t>['aws', 'git', 'python', 'java', 'kubernetes', 'machine learning']</t>
  </si>
  <si>
    <t>company_159</t>
  </si>
  <si>
    <t>Roseville, CA, US</t>
  </si>
  <si>
    <t>â‚¬11.41B</t>
  </si>
  <si>
    <t>â‚¬133,351 - â‚¬155,271</t>
  </si>
  <si>
    <t>company_164</t>
  </si>
  <si>
    <t>Redwood City, US, California . Hybrid</t>
  </si>
  <si>
    <t>MÃ¼nchen, BY, DE</t>
  </si>
  <si>
    <t>â‚¬12.32B</t>
  </si>
  <si>
    <t>â‚¬149,786 - â‚¬195,453</t>
  </si>
  <si>
    <t>company_166</t>
  </si>
  <si>
    <t>Veldhoven, North Brabant, Netherlands . On-site</t>
  </si>
  <si>
    <t>21 days ago</t>
  </si>
  <si>
    <t>Veldhoven, NB, NL</t>
  </si>
  <si>
    <t>â‚¬173.21B</t>
  </si>
  <si>
    <t>â‚¬82,371</t>
  </si>
  <si>
    <t>['r']</t>
  </si>
  <si>
    <t>company_169</t>
  </si>
  <si>
    <t>â‚¬7.84B</t>
  </si>
  <si>
    <t>â‚¬224,774</t>
  </si>
  <si>
    <t>company_170</t>
  </si>
  <si>
    <t>Ridgefield, CT</t>
  </si>
  <si>
    <t>10 days ago</t>
  </si>
  <si>
    <t>Ingelheim am Rhein, RP, DE</t>
  </si>
  <si>
    <t>â‚¬127,874 - â‚¬202,766</t>
  </si>
  <si>
    <t>['pytorch', 'git', 'scikit-learn', 'python', 'docker', 'kubernetes', 'machine learning', 'tensorflow']</t>
  </si>
  <si>
    <t>company_171</t>
  </si>
  <si>
    <t>Armonk, NY, US</t>
  </si>
  <si>
    <t>â‚¬119.43B</t>
  </si>
  <si>
    <t>â‚¬27,274 - â‚¬52,695</t>
  </si>
  <si>
    <t>['pandas', 'pytorch', 'r', 'python', 'java', 'database', 'keras', 'machine learning', 'matplotlib', 'tensorflow']</t>
  </si>
  <si>
    <t>company_173</t>
  </si>
  <si>
    <t>San Mateo, CA . On-site</t>
  </si>
  <si>
    <t>Burlingame, CA, US</t>
  </si>
  <si>
    <t>â‚¬109,602 - â‚¬123,302</t>
  </si>
  <si>
    <t>company_176</t>
  </si>
  <si>
    <t>â‚¬117,189 - â‚¬185,414</t>
  </si>
  <si>
    <t>company_177</t>
  </si>
  <si>
    <t>Omaha, NE . Newport Beach, CA . Massachusetts, United States</t>
  </si>
  <si>
    <t>Newport Beach, CA, US</t>
  </si>
  <si>
    <t>â‚¬149,445 - â‚¬182,654</t>
  </si>
  <si>
    <t>['scikit-learn', 'python', 'sql', 'machine learning', 'tensorflow']</t>
  </si>
  <si>
    <t>company_178</t>
  </si>
  <si>
    <t>Torrance, CA</t>
  </si>
  <si>
    <t>Torrance, CA, US</t>
  </si>
  <si>
    <t>â‚¬36.69B</t>
  </si>
  <si>
    <t>â‚¬63,942</t>
  </si>
  <si>
    <t>['spark', 'r', 'python', 'hadoop', 'machine learning']</t>
  </si>
  <si>
    <t>company_179</t>
  </si>
  <si>
    <t>Los Angeles, CA . United States . San Francisco, CA . Hybrid</t>
  </si>
  <si>
    <t>Collingwood, VIC, AU</t>
  </si>
  <si>
    <t>â‚¬1.44B</t>
  </si>
  <si>
    <t>â‚¬182,668 - â‚¬214,634</t>
  </si>
  <si>
    <t>['amazon']</t>
  </si>
  <si>
    <t>company_181</t>
  </si>
  <si>
    <t>â‚¬90,877 - â‚¬141,566</t>
  </si>
  <si>
    <t>['tableau', 'sql', 'r', 'python']</t>
  </si>
  <si>
    <t>company_182</t>
  </si>
  <si>
    <t>Navi Mumbai, Maharashtra, India . Hybrid</t>
  </si>
  <si>
    <t>â‚¬15,542</t>
  </si>
  <si>
    <t>['pandas', 'numpy', 'pytorch', 'scikit-learn', 'python', 'docker', 'scipy', 'sql', 'machine learning', 'deep learning', 'matplotlib', 'tensorflow']</t>
  </si>
  <si>
    <t>company_183</t>
  </si>
  <si>
    <t>Tallinn, Harjumaa, Estonia . Hybrid</t>
  </si>
  <si>
    <t>Tallinn, EE</t>
  </si>
  <si>
    <t>â‚¬61,772</t>
  </si>
  <si>
    <t>['pandas', 'numpy', 'spark', 'aws', 'scikit-learn', 'python', 'docker', 'airflow', 'sql', 'machine learning', 'deep learning']</t>
  </si>
  <si>
    <t>company_184</t>
  </si>
  <si>
    <t>â‚¬5.18B</t>
  </si>
  <si>
    <t>â‚¬137,004</t>
  </si>
  <si>
    <t>company_185</t>
  </si>
  <si>
    <t>Fairfax, VA</t>
  </si>
  <si>
    <t>â‚¬75.00B</t>
  </si>
  <si>
    <t>â‚¬171,892 - â‚¬257,744</t>
  </si>
  <si>
    <t>['pytorch', 'git', 'python', 'machine learning', 'keras', 'deep learning', 'tensorflow']</t>
  </si>
  <si>
    <t>company_186</t>
  </si>
  <si>
    <t>â‚¬14.48B</t>
  </si>
  <si>
    <t>â‚¬45,674 - â‚¬105,040</t>
  </si>
  <si>
    <t>['database', 'sql', 'aws', 'python']</t>
  </si>
  <si>
    <t>company_192</t>
  </si>
  <si>
    <t>NY, US</t>
  </si>
  <si>
    <t>â‚¬137,007 - â‚¬164,407</t>
  </si>
  <si>
    <t>['amazon', 'spark', 'python', 'airflow', 'machine learning']</t>
  </si>
  <si>
    <t>company_193</t>
  </si>
  <si>
    <t>Phoenix, AZ</t>
  </si>
  <si>
    <t>â‚¬37.86B</t>
  </si>
  <si>
    <t>â‚¬82,201</t>
  </si>
  <si>
    <t>['powerbi', 'aws', 'r', 'python', 'sql', 'machine learning']</t>
  </si>
  <si>
    <t>company_196</t>
  </si>
  <si>
    <t>Hybrid</t>
  </si>
  <si>
    <t>7 months ago</t>
  </si>
  <si>
    <t>â‚¬12.43B</t>
  </si>
  <si>
    <t>â‚¬158,920 - â‚¬237,831</t>
  </si>
  <si>
    <t>company_197</t>
  </si>
  <si>
    <t>Bengaluru, Karnataka, India . On-site</t>
  </si>
  <si>
    <t>22 days ago</t>
  </si>
  <si>
    <t>Palo Alto, CA, US</t>
  </si>
  <si>
    <t>â‚¬27,409</t>
  </si>
  <si>
    <t>company_199</t>
  </si>
  <si>
    <t>Austin, TX . Hybrid</t>
  </si>
  <si>
    <t>â‚¬91.70B</t>
  </si>
  <si>
    <t>â‚¬109,605</t>
  </si>
  <si>
    <t>['java', 'sql', 'python']</t>
  </si>
  <si>
    <t>company_203</t>
  </si>
  <si>
    <t>Cincinnati, OH . Chicago, IL . Hybrid</t>
  </si>
  <si>
    <t>Cincinnati, OH, US</t>
  </si>
  <si>
    <t>â‚¬199,795</t>
  </si>
  <si>
    <t>company_207</t>
  </si>
  <si>
    <t>Manassas, VA</t>
  </si>
  <si>
    <t>Boise, ID, US</t>
  </si>
  <si>
    <t>â‚¬55.54B</t>
  </si>
  <si>
    <t>â‚¬94,077 - â‚¬118,737</t>
  </si>
  <si>
    <t>['aws', 'python', 'linux', 'sql', 'gcp', 'hadoop']</t>
  </si>
  <si>
    <t>company_209</t>
  </si>
  <si>
    <t>â‚¬639,348</t>
  </si>
  <si>
    <t>['spark', 'aws', 'python', 'sql', 'gcp', 'deep learning', 'tensorflow', 'tableau']</t>
  </si>
  <si>
    <t>data analyst</t>
  </si>
  <si>
    <t>company_211</t>
  </si>
  <si>
    <t>Eindhoven, North Brabant, Netherlands</t>
  </si>
  <si>
    <t>Amsterdam, NH, NL</t>
  </si>
  <si>
    <t>â‚¬69,047</t>
  </si>
  <si>
    <t>company_212</t>
  </si>
  <si>
    <t>Cincinnati, OH</t>
  </si>
  <si>
    <t>â‚¬135,179</t>
  </si>
  <si>
    <t>['azure', 'aws', 'machine learning', 'python']</t>
  </si>
  <si>
    <t>company_215</t>
  </si>
  <si>
    <t>San Francisco, CA . Seattle, WA . New York, NY . On-site</t>
  </si>
  <si>
    <t>â‚¬7.07B</t>
  </si>
  <si>
    <t>â‚¬200,939 - â‚¬296,838</t>
  </si>
  <si>
    <t>company_221</t>
  </si>
  <si>
    <t>â‚¬19,096</t>
  </si>
  <si>
    <t>['spark', 'r', 'python', 'java', 'sql', 'machine learning']</t>
  </si>
  <si>
    <t>company_223</t>
  </si>
  <si>
    <t>Raleigh-Durham-Chapel Hill Area</t>
  </si>
  <si>
    <t>â‚¬99,560</t>
  </si>
  <si>
    <t>['spark', 'aws', 'r', 'python', 'machine learning', 'hadoop', 'deep learning']</t>
  </si>
  <si>
    <t>â‚¬92,838 - â‚¬172,407</t>
  </si>
  <si>
    <t>company_225</t>
  </si>
  <si>
    <t>â‚¬35.97B</t>
  </si>
  <si>
    <t>â‚¬137,001</t>
  </si>
  <si>
    <t>company_226</t>
  </si>
  <si>
    <t>Rochester, New York Metropolitan Area</t>
  </si>
  <si>
    <t>Rochester, NY, US</t>
  </si>
  <si>
    <t>â‚¬55,196 - â‚¬77,273</t>
  </si>
  <si>
    <t>company_227</t>
  </si>
  <si>
    <t>â‚¬6.34B</t>
  </si>
  <si>
    <t>â‚¬68,685 - â‚¬100,834</t>
  </si>
  <si>
    <t>['pytorch', 'aws', 'r', 'python', 'docker', 'scikit-learn', 'sql', 'machine learning', 'gcp', 'deep learning', 'azure', 'tensorflow']</t>
  </si>
  <si>
    <t>Greater SÃ£o Paulo Area . Hybrid</t>
  </si>
  <si>
    <t>â‚¬53.05B</t>
  </si>
  <si>
    <t>â‚¬50,222</t>
  </si>
  <si>
    <t>company_230</t>
  </si>
  <si>
    <t>Mettawa, IL</t>
  </si>
  <si>
    <t>North Chicago, IL, US</t>
  </si>
  <si>
    <t>â‚¬245.39B</t>
  </si>
  <si>
    <t>â‚¬137,003</t>
  </si>
  <si>
    <t>company_231</t>
  </si>
  <si>
    <t>South San Francisco, CA . On-site</t>
  </si>
  <si>
    <t>Kenilworth, NJ, US</t>
  </si>
  <si>
    <t>â‚¬231.03B</t>
  </si>
  <si>
    <t>â‚¬124,219</t>
  </si>
  <si>
    <t>company_233</t>
  </si>
  <si>
    <t>Reston, VA, US</t>
  </si>
  <si>
    <t>â‚¬95,586 - â‚¬172,785</t>
  </si>
  <si>
    <t>company_235</t>
  </si>
  <si>
    <t>San Antonio, TX</t>
  </si>
  <si>
    <t>San Antonio, TX, US</t>
  </si>
  <si>
    <t>â‚¬137,008</t>
  </si>
  <si>
    <t>['spark', 'r', 'python', 'sql', 'machine learning', 'hadoop', 'deep learning']</t>
  </si>
  <si>
    <t>company_236</t>
  </si>
  <si>
    <t>Miami, FL, US</t>
  </si>
  <si>
    <t>â‚¬137,002 - â‚¬155,268</t>
  </si>
  <si>
    <t>Mississauga, Ontario, Canada</t>
  </si>
  <si>
    <t>â‚¬74,130</t>
  </si>
  <si>
    <t>['gcp', 'git', 'r']</t>
  </si>
  <si>
    <t>company_241</t>
  </si>
  <si>
    <t>London, GB</t>
  </si>
  <si>
    <t>â‚¬95,906 - â‚¬105,039</t>
  </si>
  <si>
    <t>['pytorch', 'aws', 'scikit-learn', 'scipy', 'machine learning', 'gcp', 'azure', 'tensorflow']</t>
  </si>
  <si>
    <t>company_243</t>
  </si>
  <si>
    <t>Bowie, MD . On-site</t>
  </si>
  <si>
    <t>Bowie, MD, US</t>
  </si>
  <si>
    <t>â‚¬101,149 - â‚¬110,282</t>
  </si>
  <si>
    <t>company_244</t>
  </si>
  <si>
    <t>Plano, TX . On-site</t>
  </si>
  <si>
    <t>â‚¬350.17B</t>
  </si>
  <si>
    <t>â‚¬86,772 - â‚¬196,371</t>
  </si>
  <si>
    <t>['pytorch', 'machine learning', 'tensorflow', 'python']</t>
  </si>
  <si>
    <t>company_246</t>
  </si>
  <si>
    <t>â‚¬173,540</t>
  </si>
  <si>
    <t>['spark', 'python', 'docker', 'java', 'sql', 'machine learning', 'kubernetes', 'hadoop', 'deep learning']</t>
  </si>
  <si>
    <t>company_250</t>
  </si>
  <si>
    <t>Paris, FR</t>
  </si>
  <si>
    <t>â‚¬171,458 - â‚¬238,990</t>
  </si>
  <si>
    <t>['powerbi', 'r', 'python', 'scikit-learn', 'sql', 'machine learning', 'tensorflow', 'tableau']</t>
  </si>
  <si>
    <t>company_252</t>
  </si>
  <si>
    <t>San Francisco, CA . Hybrid</t>
  </si>
  <si>
    <t>â‚¬1.72B</t>
  </si>
  <si>
    <t>â‚¬258,704</t>
  </si>
  <si>
    <t>company_254</t>
  </si>
  <si>
    <t>Chicago, IL</t>
  </si>
  <si>
    <t>South Bend, IN, US</t>
  </si>
  <si>
    <t>â‚¬63,935 - â‚¬86,768</t>
  </si>
  <si>
    <t>['powerbi', 'r', 'python', 'sql', 'database', 'hadoop', 'tableau']</t>
  </si>
  <si>
    <t>company_255</t>
  </si>
  <si>
    <t>Fort Mill, SC, US</t>
  </si>
  <si>
    <t>â‚¬123,305 - â‚¬137,005</t>
  </si>
  <si>
    <t>company_256</t>
  </si>
  <si>
    <t>San Francisco, CA . On-site</t>
  </si>
  <si>
    <t>â‚¬4.10B</t>
  </si>
  <si>
    <t>â‚¬155,274</t>
  </si>
  <si>
    <t>company_257</t>
  </si>
  <si>
    <t>â‚¬383.10B</t>
  </si>
  <si>
    <t>â‚¬120,561 - â‚¬192,988</t>
  </si>
  <si>
    <t>['pytorch', 'spark', 'r', 'python', 'scikit-learn', 'machine learning', 'deep learning', 'tensorflow']</t>
  </si>
  <si>
    <t>Vancouver, British Columbia, Canada . Hybrid</t>
  </si>
  <si>
    <t>â‚¬33.50B</t>
  </si>
  <si>
    <t>â‚¬59,371 - â‚¬63,938</t>
  </si>
  <si>
    <t>company_261</t>
  </si>
  <si>
    <t>Alameda, CA</t>
  </si>
  <si>
    <t>Lake Bluff, IL, US</t>
  </si>
  <si>
    <t>â‚¬162.59B</t>
  </si>
  <si>
    <t>â‚¬79,187</t>
  </si>
  <si>
    <t>['spark', 'r', 'python', 'scala', 'linux', 'java', 'hadoop', 'machine learning']</t>
  </si>
  <si>
    <t>Berlin, Berlin, Germany</t>
  </si>
  <si>
    <t>â‚¬98,643</t>
  </si>
  <si>
    <t>['pandas', 'numpy', 'spark', 'aws', 'scikit-learn', 'python', 'airflow', 'machine learning']</t>
  </si>
  <si>
    <t>company_268</t>
  </si>
  <si>
    <t>Singapore, Singapore</t>
  </si>
  <si>
    <t>Singapore, SG</t>
  </si>
  <si>
    <t>â‚¬67,044</t>
  </si>
  <si>
    <t>['pytorch', 'git', 'python', 'machine learning', 'tensorflow']</t>
  </si>
  <si>
    <t>company_269</t>
  </si>
  <si>
    <t>Boston, MA . Newark, DE . Tampa, FL . Kennesaw, GA . Plano, TX + 8 More</t>
  </si>
  <si>
    <t>â‚¬277.07B</t>
  </si>
  <si>
    <t>â‚¬150,707 - â‚¬224,869</t>
  </si>
  <si>
    <t>['python', 'java', 'sql', 'hadoop', 'machine learning']</t>
  </si>
  <si>
    <t>company_270</t>
  </si>
  <si>
    <t>Woonsocket, RI, US</t>
  </si>
  <si>
    <t>â‚¬121.12B</t>
  </si>
  <si>
    <t>â‚¬131,706 - â‚¬263,408</t>
  </si>
  <si>
    <t>['sql', 'python']</t>
  </si>
  <si>
    <t>San Diego, CA . On-site</t>
  </si>
  <si>
    <t>â‚¬231.13B</t>
  </si>
  <si>
    <t>â‚¬115,539 - â‚¬181,846</t>
  </si>
  <si>
    <t>['aws', 'git', 'r', 'python', 'java', 'machine learning', 'database', 'azure', 'matplotlib']</t>
  </si>
  <si>
    <t>company_273</t>
  </si>
  <si>
    <t>Redmond, WA</t>
  </si>
  <si>
    <t>â‚¬230.42B</t>
  </si>
  <si>
    <t>â‚¬121,475 - â‚¬255,734</t>
  </si>
  <si>
    <t>company_276</t>
  </si>
  <si>
    <t>â‚¬3.09B</t>
  </si>
  <si>
    <t>â‚¬294,100</t>
  </si>
  <si>
    <t>company_279</t>
  </si>
  <si>
    <t>San Francisco, California . On-site</t>
  </si>
  <si>
    <t>â‚¬127,874 - â‚¬155,273</t>
  </si>
  <si>
    <t>â‚¬34.32B</t>
  </si>
  <si>
    <t>â‚¬26,760</t>
  </si>
  <si>
    <t>company_280</t>
  </si>
  <si>
    <t>Annapolis Junction, MD . Annapolis, MD . Fully Remote</t>
  </si>
  <si>
    <t>Annapolis, MD, US</t>
  </si>
  <si>
    <t>â‚¬109,600 - â‚¬182,666</t>
  </si>
  <si>
    <t>['linux', 'machine learning', 'python']</t>
  </si>
  <si>
    <t>company_282</t>
  </si>
  <si>
    <t>Rosemont, IL</t>
  </si>
  <si>
    <t>Rosemont, IL, US</t>
  </si>
  <si>
    <t>â‚¬68,501 - â‚¬109,601</t>
  </si>
  <si>
    <t>['git', 'r', 'python', 'bash', 'sql', 'machine learning', 'deep learning']</t>
  </si>
  <si>
    <t>â‚¬137,002</t>
  </si>
  <si>
    <t>['pandas', 'numpy', 'scikit-learn', 'python', 'sql', 'hadoop']</t>
  </si>
  <si>
    <t>Hyderabad, Telangana, India</t>
  </si>
  <si>
    <t>â‚¬55.39B</t>
  </si>
  <si>
    <t>â‚¬24,621</t>
  </si>
  <si>
    <t>['pytorch', 'r', 'python', 'sql', 'machine learning', 'deep learning', 'tensorflow', 'tableau']</t>
  </si>
  <si>
    <t>â‚¬24.21B</t>
  </si>
  <si>
    <t>â‚¬10,055</t>
  </si>
  <si>
    <t>company_288</t>
  </si>
  <si>
    <t>Chantilly, VA . On-site</t>
  </si>
  <si>
    <t>â‚¬63.09B</t>
  </si>
  <si>
    <t>â‚¬114,171</t>
  </si>
  <si>
    <t>['aws', 'azure']</t>
  </si>
  <si>
    <t>company_290</t>
  </si>
  <si>
    <t>â‚¬26.63B</t>
  </si>
  <si>
    <t>â‚¬29,949 - â‚¬41,758</t>
  </si>
  <si>
    <t>['powerbi', 'aws', 'python', 'sql', 'machine learning', 'tableau']</t>
  </si>
  <si>
    <t>company_291</t>
  </si>
  <si>
    <t>â‚¬70.98B</t>
  </si>
  <si>
    <t>â‚¬9,583</t>
  </si>
  <si>
    <t>['aws', 'r', 'python', 'sql', 'neural network', 'gcp', 'azure']</t>
  </si>
  <si>
    <t>â‚¬116.88B</t>
  </si>
  <si>
    <t>â‚¬68,500</t>
  </si>
  <si>
    <t>company_293</t>
  </si>
  <si>
    <t>â‚¬10.22B</t>
  </si>
  <si>
    <t>â‚¬36,104</t>
  </si>
  <si>
    <t>['spark', 'python', 'sql', 'machine learning', 'deep learning', 'tensorflow']</t>
  </si>
  <si>
    <t>company_295</t>
  </si>
  <si>
    <t>Montreal, Quebec, Canada . Hybrid</t>
  </si>
  <si>
    <t>Dartmouth, NS, CA</t>
  </si>
  <si>
    <t>â‚¬55,906</t>
  </si>
  <si>
    <t>['pandas', 'numpy', 'pytorch', 'aws', 'scikit-learn', 'python', 'sql', 'machine learning']</t>
  </si>
  <si>
    <t>company_296</t>
  </si>
  <si>
    <t>Lebanon, NH . Hybrid</t>
  </si>
  <si>
    <t>Bridgewater, NJ, US</t>
  </si>
  <si>
    <t>â‚¬81,293 - â‚¬108,937</t>
  </si>
  <si>
    <t>â‚¬173.56B</t>
  </si>
  <si>
    <t>â‚¬82,373</t>
  </si>
  <si>
    <t>company_298</t>
  </si>
  <si>
    <t>Draper, UT, US</t>
  </si>
  <si>
    <t>â‚¬88,140 - â‚¬136,089</t>
  </si>
  <si>
    <t>['sql', 'azure', 'r', 'python']</t>
  </si>
  <si>
    <t>company_303</t>
  </si>
  <si>
    <t>Irving, TX, US</t>
  </si>
  <si>
    <t>â‚¬114,175 - â‚¬118,741</t>
  </si>
  <si>
    <t>['aws', 'git', 'python', 'sql', 'gcp', 'machine learning']</t>
  </si>
  <si>
    <t>Annapolis Junction, MD</t>
  </si>
  <si>
    <t>â‚¬178,100 - â‚¬210,980</t>
  </si>
  <si>
    <t>company_305</t>
  </si>
  <si>
    <t>Budapest, Budapest, Hungary</t>
  </si>
  <si>
    <t>â‚¬132.46B</t>
  </si>
  <si>
    <t>â‚¬27,403</t>
  </si>
  <si>
    <t>company_306</t>
  </si>
  <si>
    <t>Fort Meade, MD . Fort Meade, Maryland, BirleÅŸik Devletler . Fully Remote</t>
  </si>
  <si>
    <t>Fulton, MD, US</t>
  </si>
  <si>
    <t>â‚¬127,871 - â‚¬178,103</t>
  </si>
  <si>
    <t>company_308</t>
  </si>
  <si>
    <t>Mountain View, CA</t>
  </si>
  <si>
    <t>Redmond, WA, US</t>
  </si>
  <si>
    <t>â‚¬1.73T</t>
  </si>
  <si>
    <t>â‚¬171,712 - â‚¬277,840</t>
  </si>
  <si>
    <t>company_309</t>
  </si>
  <si>
    <t>â‚¬19,234</t>
  </si>
  <si>
    <t>['pytorch', 'aws', 'git', 'python', 'docker', 'gcp', 'azure', 'tensorflow']</t>
  </si>
  <si>
    <t>company_310</t>
  </si>
  <si>
    <t>Antwerp Metropolitan Area</t>
  </si>
  <si>
    <t>Arlington, VA, US</t>
  </si>
  <si>
    <t>â‚¬90,697</t>
  </si>
  <si>
    <t>['powerbi', 'tableau']</t>
  </si>
  <si>
    <t>company_312</t>
  </si>
  <si>
    <t>Montreal, QC, CA</t>
  </si>
  <si>
    <t>company_315</t>
  </si>
  <si>
    <t>Austin, TX, US</t>
  </si>
  <si>
    <t>â‚¬188.01B</t>
  </si>
  <si>
    <t>â‚¬99,744 - â‚¬204,046</t>
  </si>
  <si>
    <t>['pytorch', 'aws', 'r', 'python', 'docker', 'machine learning', 'kubernetes', 'deep learning', 'tensorflow']</t>
  </si>
  <si>
    <t>company_316</t>
  </si>
  <si>
    <t>Dublin, County Dublin, Ireland</t>
  </si>
  <si>
    <t>Eden Prairie, MN, US</t>
  </si>
  <si>
    <t>â‚¬52,987</t>
  </si>
  <si>
    <t>['sql', 'azure', 'python']</t>
  </si>
  <si>
    <t>company_251</t>
  </si>
  <si>
    <t>Alpharetta, GA</t>
  </si>
  <si>
    <t>Roseland, NJ, US</t>
  </si>
  <si>
    <t>â‚¬115,086</t>
  </si>
  <si>
    <t>['spark', 'aws', 'r', 'python', 'scala', 'java', 'sql', 'machine learning', 'hadoop', 'azure', 'tensorflow', 'tableau']</t>
  </si>
  <si>
    <t>company_318</t>
  </si>
  <si>
    <t>Dallas, TX, US</t>
  </si>
  <si>
    <t>â‚¬14.86B</t>
  </si>
  <si>
    <t>â‚¬100,467</t>
  </si>
  <si>
    <t>San Jose, CA . Hybrid</t>
  </si>
  <si>
    <t>â‚¬81.56B</t>
  </si>
  <si>
    <t>â‚¬125,584 - â‚¬216,003</t>
  </si>
  <si>
    <t>['pandas', 'numpy', 'pytorch', 'spark', 'aws', 'scikit-learn', 'python', 'java', 'sql', 'machine learning', 'tensorflow']</t>
  </si>
  <si>
    <t>company_324</t>
  </si>
  <si>
    <t>United States . On-site</t>
  </si>
  <si>
    <t>â‚¬3.95B</t>
  </si>
  <si>
    <t>â‚¬137,003 - â‚¬150,703</t>
  </si>
  <si>
    <t>company_326</t>
  </si>
  <si>
    <t>2 years ago</t>
  </si>
  <si>
    <t>Mumbai, MH, IN</t>
  </si>
  <si>
    <t>â‚¬7.41B</t>
  </si>
  <si>
    <t>â‚¬44,207</t>
  </si>
  <si>
    <t>company_328</t>
  </si>
  <si>
    <t>Riverwoods, IL</t>
  </si>
  <si>
    <t>Riverwoods, IL, US</t>
  </si>
  <si>
    <t>â‚¬26.53B</t>
  </si>
  <si>
    <t>â‚¬118,733 - â‚¬166,226</t>
  </si>
  <si>
    <t>['sql', 'tableau']</t>
  </si>
  <si>
    <t>company_336</t>
  </si>
  <si>
    <t>South San Francisco, CA</t>
  </si>
  <si>
    <t>South San Francisco, CA, US</t>
  </si>
  <si>
    <t>â‚¬195,911</t>
  </si>
  <si>
    <t>company_337</t>
  </si>
  <si>
    <t>Tallahassee, FL . Arlington, VA . Fully Remote</t>
  </si>
  <si>
    <t>Fairfax, VA, US</t>
  </si>
  <si>
    <t>â‚¬131,219 - â‚¬223,067</t>
  </si>
  <si>
    <t>['r', 'python', 'sql', 'machine learning', 'database', 'deep learning']</t>
  </si>
  <si>
    <t>company_339</t>
  </si>
  <si>
    <t>â‚¬3.04B</t>
  </si>
  <si>
    <t>â‚¬164,405 - â‚¬226,054</t>
  </si>
  <si>
    <t>company_340</t>
  </si>
  <si>
    <t>â‚¬112,800 - â‚¬194,405</t>
  </si>
  <si>
    <t>company_341</t>
  </si>
  <si>
    <t>â‚¬13.85B</t>
  </si>
  <si>
    <t>â‚¬127,868 - â‚¬143,851</t>
  </si>
  <si>
    <t>company_343</t>
  </si>
  <si>
    <t>Edinburgh, Scotland, United Kingdom</t>
  </si>
  <si>
    <t>Edinburgh, GB</t>
  </si>
  <si>
    <t>â‚¬24.78B</t>
  </si>
  <si>
    <t>â‚¬59,677</t>
  </si>
  <si>
    <t>company_201</t>
  </si>
  <si>
    <t>Milwaukee, WI</t>
  </si>
  <si>
    <t>Deerfield, IL, US</t>
  </si>
  <si>
    <t>â‚¬25.16B</t>
  </si>
  <si>
    <t>â‚¬102,300 - â‚¬140,660</t>
  </si>
  <si>
    <t>['spark', 'python', 'scala', 'machine learning', 'database', 'azure', 'tableau']</t>
  </si>
  <si>
    <t>company_352</t>
  </si>
  <si>
    <t>Pune, Maharashtra, India . On-site</t>
  </si>
  <si>
    <t>Evanston, IL, US</t>
  </si>
  <si>
    <t>â‚¬13,173</t>
  </si>
  <si>
    <t>['amazon', 'r', 'python', 'java', 'database', 'hadoop', 'machine learning']</t>
  </si>
  <si>
    <t>company_353</t>
  </si>
  <si>
    <t>Washington, US</t>
  </si>
  <si>
    <t>â‚¬164,400</t>
  </si>
  <si>
    <t>company_355</t>
  </si>
  <si>
    <t>â‚¬130.59B</t>
  </si>
  <si>
    <t>â‚¬125,223 - â‚¬216,007</t>
  </si>
  <si>
    <t>Johns Creek, GA</t>
  </si>
  <si>
    <t>â‚¬137,000</t>
  </si>
  <si>
    <t>company_357</t>
  </si>
  <si>
    <t>Basking Ridge, NJ . Irving, TX . Temple Terrace, FL . Boston, MA . Ashburn, VA + 1 More . Hybrid</t>
  </si>
  <si>
    <t>Basking Ridge, NJ, US</t>
  </si>
  <si>
    <t>â‚¬142.23B</t>
  </si>
  <si>
    <t>â‚¬92,254</t>
  </si>
  <si>
    <t>['python', 'sql', 'machine learning', 'database', 'hadoop', 'deep learning']</t>
  </si>
  <si>
    <t>company_360</t>
  </si>
  <si>
    <t>Itanagar, Arunachal Pradesh, India</t>
  </si>
  <si>
    <t>â‚¬12,924</t>
  </si>
  <si>
    <t>['pandas', 'numpy', 'pytorch', 'spark', 'aws', 'git', 'scikit-learn', 'python', 'docker', 'scipy', 'hadoop', 'machine learning', 'database', 'keras', 'deep learning', 'matplotlib', 'tensorflow']</t>
  </si>
  <si>
    <t>company_362</t>
  </si>
  <si>
    <t>16 days ago</t>
  </si>
  <si>
    <t>â‚¬9.48B</t>
  </si>
  <si>
    <t>â‚¬198,198 - â‚¬277,565</t>
  </si>
  <si>
    <t>New Brunswick, NJ</t>
  </si>
  <si>
    <t>â‚¬412.87B</t>
  </si>
  <si>
    <t>â‚¬97,046 - â‚¬131,295</t>
  </si>
  <si>
    <t>['aws', 'powerbi', 'r', 'python', 'airflow', 'machine learning', 'azure', 'tableau']</t>
  </si>
  <si>
    <t>company_363</t>
  </si>
  <si>
    <t>Bellevue, WA</t>
  </si>
  <si>
    <t>23 days ago</t>
  </si>
  <si>
    <t>â‚¬109,328 - â‚¬203,035</t>
  </si>
  <si>
    <t>['pytorch', 'scikit-learn', 'python', 'scala', 'java', 'machine learning', 'tensorflow']</t>
  </si>
  <si>
    <t>company_365</t>
  </si>
  <si>
    <t>McLean, VA</t>
  </si>
  <si>
    <t>Annapolis Junction, MD, US</t>
  </si>
  <si>
    <t>â‚¬72,666 - â‚¬159,901</t>
  </si>
  <si>
    <t>['database', 'machine learning', 'python']</t>
  </si>
  <si>
    <t>company_366</t>
  </si>
  <si>
    <t>Columbia, MD</t>
  </si>
  <si>
    <t>Columbia, MD, US</t>
  </si>
  <si>
    <t>â‚¬100,472 - â‚¬146,138</t>
  </si>
  <si>
    <t>['pytorch', 'spark', 'aws', 'r', 'python', 'scikit-learn', 'scala', 'sql', 'machine learning', 'gcp', 'azure', 'tensorflow']</t>
  </si>
  <si>
    <t>company_367</t>
  </si>
  <si>
    <t>â‚¬144,307 - â‚¬167,140</t>
  </si>
  <si>
    <t>Utah, United States</t>
  </si>
  <si>
    <t>â‚¬75.20B</t>
  </si>
  <si>
    <t>â‚¬125,495 - â‚¬188,149</t>
  </si>
  <si>
    <t>['aws', 'gcp', 'azure']</t>
  </si>
  <si>
    <t>company_371</t>
  </si>
  <si>
    <t>South San Francisco, CA . South San Francisco, Kalifornia, Stany Zjednoczone</t>
  </si>
  <si>
    <t>â‚¬190,891 - â‚¬212,811</t>
  </si>
  <si>
    <t>Kitchener-Waterloo, ON . Toronto, ON . Hybrid</t>
  </si>
  <si>
    <t>â‚¬11.85B</t>
  </si>
  <si>
    <t>â‚¬153,447 - â‚¬210,986</t>
  </si>
  <si>
    <t>â‚¬63,941</t>
  </si>
  <si>
    <t>â‚¬4.85B</t>
  </si>
  <si>
    <t>â‚¬213,594</t>
  </si>
  <si>
    <t>a year ago</t>
  </si>
  <si>
    <t>â‚¬7.66B</t>
  </si>
  <si>
    <t>â‚¬44,202</t>
  </si>
  <si>
    <t>company_382</t>
  </si>
  <si>
    <t>Greater Chicago Area . Hybrid</t>
  </si>
  <si>
    <t>â‚¬2.03B</t>
  </si>
  <si>
    <t>â‚¬73,068 - â‚¬91,335</t>
  </si>
  <si>
    <t>['aws', 'python', 'sql', 'machine learning', 'deep learning']</t>
  </si>
  <si>
    <t>company_383</t>
  </si>
  <si>
    <t>Barcelona, Spain . On-site</t>
  </si>
  <si>
    <t>Milano, IT</t>
  </si>
  <si>
    <t>â‚¬46,528 - â‚¬76,222</t>
  </si>
  <si>
    <t>â‚¬9,140</t>
  </si>
  <si>
    <t>['r', 'python', 'sql', 'hadoop', 'machine learning']</t>
  </si>
  <si>
    <t>company_384</t>
  </si>
  <si>
    <t>Normal, IL . Plymouth, MI . Palo Alto, CA . Irvine, CA . Atlanta, GA</t>
  </si>
  <si>
    <t>Irvine, CA, US</t>
  </si>
  <si>
    <t>â‚¬25.21B</t>
  </si>
  <si>
    <t>â‚¬147,050 - â‚¬196,370</t>
  </si>
  <si>
    <t>company_387</t>
  </si>
  <si>
    <t>Sunnyvale, CA . Hybrid</t>
  </si>
  <si>
    <t>â‚¬8.62B</t>
  </si>
  <si>
    <t>â‚¬144,491</t>
  </si>
  <si>
    <t>â‚¬146,050 - â‚¬230,989</t>
  </si>
  <si>
    <t>company_389</t>
  </si>
  <si>
    <t>Bozeman, MT, US</t>
  </si>
  <si>
    <t>â‚¬37.49B</t>
  </si>
  <si>
    <t>â‚¬181,756 - â‚¬258,932</t>
  </si>
  <si>
    <t>company_391</t>
  </si>
  <si>
    <t>Greenbelt, MD, US</t>
  </si>
  <si>
    <t>â‚¬132,438 - â‚¬159,838</t>
  </si>
  <si>
    <t>company_392</t>
  </si>
  <si>
    <t>Jacksonville, FL, US</t>
  </si>
  <si>
    <t>â‚¬35.07B</t>
  </si>
  <si>
    <t>â‚¬157,017 - â‚¬263,794</t>
  </si>
  <si>
    <t>['spark', 'aws', 'python', 'sql', 'machine learning', 'gcp', 'azure']</t>
  </si>
  <si>
    <t>company_395</t>
  </si>
  <si>
    <t>McLean, VA, US</t>
  </si>
  <si>
    <t>â‚¬36.18B</t>
  </si>
  <si>
    <t>â‚¬121,479 - â‚¬138,650</t>
  </si>
  <si>
    <t>['spark', 'aws', 'r', 'python', 'scala', 'sql', 'database', 'machine learning']</t>
  </si>
  <si>
    <t>â‚¬57,318</t>
  </si>
  <si>
    <t>â‚¬216,463 - â‚¬242,949</t>
  </si>
  <si>
    <t>company_403</t>
  </si>
  <si>
    <t>Boston, MA . Hybrid</t>
  </si>
  <si>
    <t>â‚¬130,609 - â‚¬140,656</t>
  </si>
  <si>
    <t>company_404</t>
  </si>
  <si>
    <t>Northbrook, IL, US</t>
  </si>
  <si>
    <t>â‚¬31.37B</t>
  </si>
  <si>
    <t>â‚¬87,412 - â‚¬139,463</t>
  </si>
  <si>
    <t>['aws', 'r', 'python', 'linux', 'sql', 'machine learning', 'deep learning', 'azure']</t>
  </si>
  <si>
    <t>â‚¬89,623 - â‚¬152,356</t>
  </si>
  <si>
    <t>â‚¬128,871 - â‚¬239,383</t>
  </si>
  <si>
    <t>['deep learning', 'machine learning', 'r', 'python']</t>
  </si>
  <si>
    <t>company_410</t>
  </si>
  <si>
    <t>4 months ago</t>
  </si>
  <si>
    <t>â‚¬28,130</t>
  </si>
  <si>
    <t>company_411</t>
  </si>
  <si>
    <t>Santa Monica, CA, US</t>
  </si>
  <si>
    <t>â‚¬130,667 - â‚¬241,897</t>
  </si>
  <si>
    <t>['spark', 'aws', 'python', 'airflow', 'sql', 'gcp', 'machine learning']</t>
  </si>
  <si>
    <t>company_412</t>
  </si>
  <si>
    <t>Minneapolis, MN, US</t>
  </si>
  <si>
    <t>â‚¬67,682 - â‚¬101,475</t>
  </si>
  <si>
    <t>['pandas', 'aws', 'scikit-learn', 'python', 'sql', 'machine learning', 'gcp', 'azure', 'matplotlib']</t>
  </si>
  <si>
    <t>company_414</t>
  </si>
  <si>
    <t>London, England, United Kingdom . Hybrid</t>
  </si>
  <si>
    <t>Newton, MA, US</t>
  </si>
  <si>
    <t>â‚¬91,337 - â‚¬137,003</t>
  </si>
  <si>
    <t>['sql', 'aws', 'r', 'python']</t>
  </si>
  <si>
    <t>company_417</t>
  </si>
  <si>
    <t>â‚¬167.14B</t>
  </si>
  <si>
    <t>â‚¬32,665</t>
  </si>
  <si>
    <t>['pandas', 'numpy', 'pytorch', 'aws', 'r', 'python', 'scikit-learn', 'scipy', 'sql', 'machine learning', 'deep learning', 'keras', 'azure', 'matplotlib', 'tensorflow', 'tableau']</t>
  </si>
  <si>
    <t>company_418</t>
  </si>
  <si>
    <t>Washington, United States . Idaho, United States . Arizona, United States . Georgia, United States . South Carolina, United States + 1 More . Fully Remote</t>
  </si>
  <si>
    <t>Nonprofit</t>
  </si>
  <si>
    <t>â‚¬88,967 - â‚¬166,051</t>
  </si>
  <si>
    <t>company_421</t>
  </si>
  <si>
    <t>Mexico City Metropolitan Area . Fully Remote</t>
  </si>
  <si>
    <t>Cheyenne, WY, US</t>
  </si>
  <si>
    <t>Not Mentioned</t>
  </si>
  <si>
    <t>â‚¬25,212</t>
  </si>
  <si>
    <t>company_422</t>
  </si>
  <si>
    <t>Englewood, CO</t>
  </si>
  <si>
    <t>Englewood, CO, US</t>
  </si>
  <si>
    <t>â‚¬105,439</t>
  </si>
  <si>
    <t>company_423</t>
  </si>
  <si>
    <t>â‚¬118,741 - â‚¬137,008</t>
  </si>
  <si>
    <t>company_425</t>
  </si>
  <si>
    <t>Madrid, Community of Madrid, Spain</t>
  </si>
  <si>
    <t>â‚¬55,995</t>
  </si>
  <si>
    <t>['spark', 'aws', 'powerbi', 'r', 'python', 'docker', 'linux', 'sql', 'azure', 'tableau']</t>
  </si>
  <si>
    <t>company_426</t>
  </si>
  <si>
    <t>Palo Alto, CA . Hybrid</t>
  </si>
  <si>
    <t>â‚¬186,327 - â‚¬261,220</t>
  </si>
  <si>
    <t>company_428</t>
  </si>
  <si>
    <t>â‚¬210,073 - â‚¬251,172</t>
  </si>
  <si>
    <t>company_433</t>
  </si>
  <si>
    <t>â‚¬36,542 - â‚¬54,809</t>
  </si>
  <si>
    <t>company_435</t>
  </si>
  <si>
    <t>â‚¬94,256 - â‚¬175,359</t>
  </si>
  <si>
    <t>â‚¬87,407</t>
  </si>
  <si>
    <t>company_438</t>
  </si>
  <si>
    <t>New York City, New York, United States . On-site</t>
  </si>
  <si>
    <t>â‚¬154,356</t>
  </si>
  <si>
    <t>company_440</t>
  </si>
  <si>
    <t>Lexington, MA . Massachusetts, United States</t>
  </si>
  <si>
    <t>â‚¬109,604</t>
  </si>
  <si>
    <t>['aws', 'scikit-learn', 'python', 'sql', 'machine learning', 'deep learning', 'tensorflow']</t>
  </si>
  <si>
    <t>company_449</t>
  </si>
  <si>
    <t>New York, United States</t>
  </si>
  <si>
    <t>â‚¬141,571 - â‚¬164,405</t>
  </si>
  <si>
    <t>company_450</t>
  </si>
  <si>
    <t>Fort George G Meade, Maryland, United States . On-site</t>
  </si>
  <si>
    <t>Catonsville, MD, US</t>
  </si>
  <si>
    <t>â‚¬89,511 - â‚¬196,370</t>
  </si>
  <si>
    <t>SÃ£o Paulo, SÃ£o Paulo, Brazil . Fully Remote</t>
  </si>
  <si>
    <t>â‚¬25,214</t>
  </si>
  <si>
    <t>company_456</t>
  </si>
  <si>
    <t>Sacramento, CA</t>
  </si>
  <si>
    <t>Sacramento, CA, US</t>
  </si>
  <si>
    <t>â‚¬115,891 - â‚¬172,882</t>
  </si>
  <si>
    <t>company_457</t>
  </si>
  <si>
    <t>New York, United States . Minneapolis, MN . Chicago, IL</t>
  </si>
  <si>
    <t>â‚¬68,504 - â‚¬84,944</t>
  </si>
  <si>
    <t>['git', 'r', 'python', 'docker', 'sql', 'machine learning']</t>
  </si>
  <si>
    <t>company_460</t>
  </si>
  <si>
    <t>Dania Beach, FL, US</t>
  </si>
  <si>
    <t>â‚¬122,847 - â‚¬196,370</t>
  </si>
  <si>
    <t>Bengaluru, Karnataka, India . Bengaluru East, Karnataka, India</t>
  </si>
  <si>
    <t>â‚¬27,524</t>
  </si>
  <si>
    <t>['pytorch', 'python', 'docker', 'machine learning', 'kubernetes', 'deep learning', 'tensorflow']</t>
  </si>
  <si>
    <t>â‚¬151,203</t>
  </si>
  <si>
    <t>company_461</t>
  </si>
  <si>
    <t>â‚¬14,064</t>
  </si>
  <si>
    <t>['aws', 'machine learning', 'gcp', 'azure', 'deep learning']</t>
  </si>
  <si>
    <t>company_465</t>
  </si>
  <si>
    <t>Washington, DC . On-site</t>
  </si>
  <si>
    <t>â‚¬120,104 - â‚¬200,112</t>
  </si>
  <si>
    <t>['deep learning', 'aws', 'machine learning', 'python']</t>
  </si>
  <si>
    <t>company_025</t>
  </si>
  <si>
    <t>Jersey City, NJ</t>
  </si>
  <si>
    <t>Teaneck, NJ, US</t>
  </si>
  <si>
    <t>â‚¬146,134 - â‚¬164,401</t>
  </si>
  <si>
    <t>company_468</t>
  </si>
  <si>
    <t>Los Alamos, NM</t>
  </si>
  <si>
    <t>Los Alamos, NM, US</t>
  </si>
  <si>
    <t>â‚¬114,354 - â‚¬192,992</t>
  </si>
  <si>
    <t>['git', 'r', 'python', 'sql', 'machine learning', 'database', 'deep learning']</t>
  </si>
  <si>
    <t>company_474</t>
  </si>
  <si>
    <t>Irvine, CA</t>
  </si>
  <si>
    <t>US</t>
  </si>
  <si>
    <t>â‚¬92,252 - â‚¬170,573</t>
  </si>
  <si>
    <t>['amazon', 'pytorch', 'aws', 'python', 'java', 'machine learning', 'deep learning', 'keras', 'azure', 'tensorflow']</t>
  </si>
  <si>
    <t>company_475</t>
  </si>
  <si>
    <t>Brisbane, CA</t>
  </si>
  <si>
    <t>â‚¬164,408 - â‚¬211,900</t>
  </si>
  <si>
    <t>['pandas', 'numpy', 'git', 'r', 'python', 'scikit-learn', 'machine learning', 'matplotlib']</t>
  </si>
  <si>
    <t>company_477</t>
  </si>
  <si>
    <t>Mountain View, California, United States . On-site</t>
  </si>
  <si>
    <t>â‚¬187,241</t>
  </si>
  <si>
    <t>company_142</t>
  </si>
  <si>
    <t>New York, NY . Boston, MA . Los Angeles, CA</t>
  </si>
  <si>
    <t>â‚¬146,141 - â‚¬255,740</t>
  </si>
  <si>
    <t>['pytorch', 'machine learning']</t>
  </si>
  <si>
    <t>company_480</t>
  </si>
  <si>
    <t>Kansas City, KS . Hybrid</t>
  </si>
  <si>
    <t>Kansas City, KS, US</t>
  </si>
  <si>
    <t>â‚¬75,814 - â‚¬119,654</t>
  </si>
  <si>
    <t>['pytorch', 'r', 'python', 'machine learning', 'deep learning', 'tensorflow']</t>
  </si>
  <si>
    <t>company_482</t>
  </si>
  <si>
    <t>Boston, MA . United States</t>
  </si>
  <si>
    <t>â‚¬109,600</t>
  </si>
  <si>
    <t>â‚¬112,803 - â‚¬194,408</t>
  </si>
  <si>
    <t>company_484</t>
  </si>
  <si>
    <t>â‚¬81,294 - â‚¬109,607</t>
  </si>
  <si>
    <t>['sql', 'machine learning', 'tableau']</t>
  </si>
  <si>
    <t>company_485</t>
  </si>
  <si>
    <t>â‚¬127,869 - â‚¬164,402</t>
  </si>
  <si>
    <t>['pytorch', 'scikit-learn', 'python', 'java', 'machine learning', 'tensorflow']</t>
  </si>
  <si>
    <t>company_486</t>
  </si>
  <si>
    <t>â‚¬19,988</t>
  </si>
  <si>
    <t>['pytorch', 'aws', 'python', 'docker', 'gcp', 'kubernetes', 'azure']</t>
  </si>
  <si>
    <t>company_313</t>
  </si>
  <si>
    <t>â‚¬73,457</t>
  </si>
  <si>
    <t>company_488</t>
  </si>
  <si>
    <t>Boston, MA . à¸šà¸­à¸ªà¸•à¸±à¸™, à¸£à¸±à¸à¹à¸¡à¸ªà¸‹à¸²à¸Šà¸¹à¹€à¸‹à¸•à¸ªà¹Œ, à¸ªà¸«à¸£à¸±à¸</t>
  </si>
  <si>
    <t>â‚¬138,543 - â‚¬173,111</t>
  </si>
  <si>
    <t>company_490</t>
  </si>
  <si>
    <t>Overland Park, KS . Frisco, TX . Bellevue, WA . Hybrid</t>
  </si>
  <si>
    <t>Bellevue, WA, US</t>
  </si>
  <si>
    <t>â‚¬78,825 - â‚¬142,210</t>
  </si>
  <si>
    <t>['spark', 'git', 'python', 'sql', 'hadoop']</t>
  </si>
  <si>
    <t>company_499</t>
  </si>
  <si>
    <t>Lake Mary, FL . Hybrid</t>
  </si>
  <si>
    <t>â‚¬109,606</t>
  </si>
  <si>
    <t>['sql', 'kubernetes', 'machine learning', 'python']</t>
  </si>
  <si>
    <t>company_500</t>
  </si>
  <si>
    <t>Vilniaus, Lithuania . Nzalae/ Nzawa locations, Kitui County, Kenya . Hybrid</t>
  </si>
  <si>
    <t>â‚¬5,940 - â‚¬8,223</t>
  </si>
  <si>
    <t>['aws', 'database', 'sql', 'machine learning', 'gcp', 'kubernetes', 'deep learning', 'azure']</t>
  </si>
  <si>
    <t>company_503</t>
  </si>
  <si>
    <t>Brazil, Sao Paulo . On-site</t>
  </si>
  <si>
    <t>SÃ£o Paulo, SP, BR</t>
  </si>
  <si>
    <t>â‚¬28,878 - â‚¬39,713</t>
  </si>
  <si>
    <t>company_513</t>
  </si>
  <si>
    <t>Washington, DC</t>
  </si>
  <si>
    <t>Vienna, VA, US</t>
  </si>
  <si>
    <t>â‚¬146,134 - â‚¬182,667</t>
  </si>
  <si>
    <t>company_516</t>
  </si>
  <si>
    <t>â‚¬127,874 - â‚¬141,573</t>
  </si>
  <si>
    <t>company_517</t>
  </si>
  <si>
    <t>Gaithersburg, MD, US</t>
  </si>
  <si>
    <t>â‚¬255,738</t>
  </si>
  <si>
    <t>company_521</t>
  </si>
  <si>
    <t>San Francisco, CA . Chicago, IL . Seattle, WA . New York, NY</t>
  </si>
  <si>
    <t>â‚¬114,175 - â‚¬155,274</t>
  </si>
  <si>
    <t>['pandas', 'sql', 'python']</t>
  </si>
  <si>
    <t>company_523</t>
  </si>
  <si>
    <t>â‚¬82,480 - â‚¬137,371</t>
  </si>
  <si>
    <t>['pandas', 'numpy', 'aws', 'scikit-learn', 'python', 'scipy', 'database', 'matplotlib']</t>
  </si>
  <si>
    <t>company_524</t>
  </si>
  <si>
    <t>â‚¬97,168 - â‚¬107,796</t>
  </si>
  <si>
    <t>['amazon', 'azure', 'machine learning']</t>
  </si>
  <si>
    <t>company_527</t>
  </si>
  <si>
    <t>Plainsboro, NJ</t>
  </si>
  <si>
    <t>BagsvÃ¦rd, DK</t>
  </si>
  <si>
    <t>â‚¬131,088</t>
  </si>
  <si>
    <t>['deep learning']</t>
  </si>
  <si>
    <t>company_532</t>
  </si>
  <si>
    <t>â‚¬173,536 - â‚¬228,335</t>
  </si>
  <si>
    <t>company_540</t>
  </si>
  <si>
    <t>â‚¬118,741</t>
  </si>
  <si>
    <t>company_544</t>
  </si>
  <si>
    <t>Tempe, AZ . Hybrid</t>
  </si>
  <si>
    <t>Bloomington, IL, US</t>
  </si>
  <si>
    <t>â‚¬100,470 - â‚¬137,003</t>
  </si>
  <si>
    <t>['linux', 'aws', 'r', 'python']</t>
  </si>
  <si>
    <t>company_545</t>
  </si>
  <si>
    <t>Indianapolis, IN</t>
  </si>
  <si>
    <t>Indianapolis, IN, US</t>
  </si>
  <si>
    <t>â‚¬138,373 - â‚¬202,945</t>
  </si>
  <si>
    <t>['tableau']</t>
  </si>
  <si>
    <t>company_546</t>
  </si>
  <si>
    <t>Redwood City, CA . Hybrid</t>
  </si>
  <si>
    <t>â‚¬172,567 - â‚¬244,914</t>
  </si>
  <si>
    <t>['pytorch', 'spark', 'python', 'scala', 'sql', 'machine learning', 'deep learning', 'tensorflow']</t>
  </si>
  <si>
    <t>company_549</t>
  </si>
  <si>
    <t>Santa Clara, CA . Hybrid</t>
  </si>
  <si>
    <t>Santa Clara, CA, US</t>
  </si>
  <si>
    <t>â‚¬205,499 - â‚¬273,999</t>
  </si>
  <si>
    <t>['pandas', 'numpy', 'pytorch', 'spark', 'aws', 'python', 'machine learning', 'gcp', 'deep learning', 'azure', 'matplotlib', 'tensorflow']</t>
  </si>
  <si>
    <t>company_551</t>
  </si>
  <si>
    <t>â‚¬15,667</t>
  </si>
  <si>
    <t>['powerbi', 'python', 'sql', 'machine learning', 'deep learning', 'matplotlib', 'tableau']</t>
  </si>
  <si>
    <t>â‚¬155,272</t>
  </si>
  <si>
    <t>company_555</t>
  </si>
  <si>
    <t>Boston, MA</t>
  </si>
  <si>
    <t>â‚¬141,571</t>
  </si>
  <si>
    <t>company_558</t>
  </si>
  <si>
    <t>16 hours ago</t>
  </si>
  <si>
    <t>â‚¬109,605 - â‚¬159,838</t>
  </si>
  <si>
    <t>['r', 'python', 'machine learning', 'keras', 'deep learning', 'tensorflow']</t>
  </si>
  <si>
    <t>Raleigh, NC</t>
  </si>
  <si>
    <t>18 days ago</t>
  </si>
  <si>
    <t>â‚¬146,135 - â‚¬182,668</t>
  </si>
  <si>
    <t>company_564</t>
  </si>
  <si>
    <t>â‚¬168,061 - â‚¬192,721</t>
  </si>
  <si>
    <t>company_568</t>
  </si>
  <si>
    <t>Brooklyn, OH . Cleveland, OH . United States</t>
  </si>
  <si>
    <t>Cleveland, OH, US</t>
  </si>
  <si>
    <t>â‚¬115,085 - â‚¬126,958</t>
  </si>
  <si>
    <t>company_572</t>
  </si>
  <si>
    <t>â‚¬155,269 - â‚¬178,102</t>
  </si>
  <si>
    <t>company_574</t>
  </si>
  <si>
    <t>CA</t>
  </si>
  <si>
    <t>â‚¬52,518 - â‚¬97,271</t>
  </si>
  <si>
    <t>company_577</t>
  </si>
  <si>
    <t>â‚¬147,049 - â‚¬185,363</t>
  </si>
  <si>
    <t>['pytorch', 'aws', 'r', 'python', 'docker', 'scikit-learn', 'machine learning', 'gcp', 'deep learning', 'azure', 'matplotlib', 'tensorflow']</t>
  </si>
  <si>
    <t>company_579</t>
  </si>
  <si>
    <t>Philadelphia, PA</t>
  </si>
  <si>
    <t>10 months ago</t>
  </si>
  <si>
    <t>Philadelphia, PA, US</t>
  </si>
  <si>
    <t>â‚¬91,339 - â‚¬109,605</t>
  </si>
  <si>
    <t>Minneapolis, MN</t>
  </si>
  <si>
    <t>â‚¬112,348 - â‚¬168,609</t>
  </si>
  <si>
    <t>['pytorch', 'aws', 'python', 'sql', 'machine learning', 'gcp', 'azure', 'tensorflow']</t>
  </si>
  <si>
    <t>Bucharest, Bucharest, Romania . Vilnius, Vilniaus, Lithuania . Estonia . Bulgaria . Poland + 11 More . Hybrid</t>
  </si>
  <si>
    <t>â‚¬5,939 - â‚¬8,222</t>
  </si>
  <si>
    <t>company_587</t>
  </si>
  <si>
    <t>Rockville, MD, US</t>
  </si>
  <si>
    <t>â‚¬91,336 - â‚¬109,602</t>
  </si>
  <si>
    <t>['pandas', 'numpy', 'aws', 'git', 'scikit-learn', 'python', 'sql', 'gcp', 'database', 'machine learning']</t>
  </si>
  <si>
    <t>company_589</t>
  </si>
  <si>
    <t>â‚¬197,190 - â‚¬236,660</t>
  </si>
  <si>
    <t>company_590</t>
  </si>
  <si>
    <t>San Francisco, California, United States . San Francisco, California, USA . Hybrid</t>
  </si>
  <si>
    <t>Pittsburgh, PA, US</t>
  </si>
  <si>
    <t>â‚¬159,834 - â‚¬205,500</t>
  </si>
  <si>
    <t>company_591</t>
  </si>
  <si>
    <t>Chicago, IL . Ø¥Ù„ÙŠÙ†ÙˆÙŠ Ø´ÙŠÙƒØ§ØºÙˆ Ø§Ù„ÙˆÙ„Ø§ÙŠØ§Øª Ø§Ù„Ù…ØªØ­Ø¯Ø© . Hybrid</t>
  </si>
  <si>
    <t>â‚¬95,901 - â‚¬123,301</t>
  </si>
  <si>
    <t>['sql', 'machine learning', 'scikit-learn', 'python']</t>
  </si>
  <si>
    <t>â‚¬200,937</t>
  </si>
  <si>
    <t>company_596</t>
  </si>
  <si>
    <t>â‚¬129,513 - â‚¬215,914</t>
  </si>
  <si>
    <t>['r', 'python', 'scala', 'sql', 'gcp']</t>
  </si>
  <si>
    <t>company_598</t>
  </si>
  <si>
    <t>Salt Lake City Metropolitan Area</t>
  </si>
  <si>
    <t>Salt Lake City, UT, US</t>
  </si>
  <si>
    <t>â‚¬182,667</t>
  </si>
  <si>
    <t>company_601</t>
  </si>
  <si>
    <t>â‚¬30,455</t>
  </si>
  <si>
    <t>['scikit-learn', 'python', 'sql', 'database', 'machine learning']</t>
  </si>
  <si>
    <t>company_603</t>
  </si>
  <si>
    <t>Queenstown, Central Singapore Community Development Council, Singapore</t>
  </si>
  <si>
    <t>â‚¬54,802</t>
  </si>
  <si>
    <t>['tableau', 'r', 'python']</t>
  </si>
  <si>
    <t>company_472</t>
  </si>
  <si>
    <t>Brookfield, WI . Fully Remote</t>
  </si>
  <si>
    <t>â‚¬59,552 - â‚¬138,317</t>
  </si>
  <si>
    <t>['aws', 'r', 'python', 'sql', 'machine learning']</t>
  </si>
  <si>
    <t>company_607</t>
  </si>
  <si>
    <t>Yonkers, New York, United States . Hybrid</t>
  </si>
  <si>
    <t>17 hours ago</t>
  </si>
  <si>
    <t>Yonkers, NY, US</t>
  </si>
  <si>
    <t>â‚¬120,568 - â‚¬134,268</t>
  </si>
  <si>
    <t>company_608</t>
  </si>
  <si>
    <t>Berlin, Berlin, Germany . Hybrid</t>
  </si>
  <si>
    <t>Berlin, DE</t>
  </si>
  <si>
    <t>â‚¬86,270 - â‚¬119,421</t>
  </si>
  <si>
    <t>['scala', 'spark', 'machine learning', 'python']</t>
  </si>
  <si>
    <t>company_609</t>
  </si>
  <si>
    <t>Golden Valley, MN . Austin, TX . Hybrid</t>
  </si>
  <si>
    <t>â‚¬119,819 - â‚¬178,753</t>
  </si>
  <si>
    <t>['pandas', 'numpy', 'pytorch', 'spark', 'aws', 'git', 'r', 'python', 'scikit-learn', 'sql', 'machine learning', 'keras', 'azure', 'tensorflow']</t>
  </si>
  <si>
    <t>company_610</t>
  </si>
  <si>
    <t>Chicago, IL . Hybrid</t>
  </si>
  <si>
    <t>â‚¬83,821</t>
  </si>
  <si>
    <t>['git', 'r', 'python', 'sql', 'machine learning', 'deep learning']</t>
  </si>
  <si>
    <t>company_611</t>
  </si>
  <si>
    <t>â‚¬137,006 - â‚¬200,939</t>
  </si>
  <si>
    <t>company_614</t>
  </si>
  <si>
    <t>Ukraine</t>
  </si>
  <si>
    <t>â‚¬65,768</t>
  </si>
  <si>
    <t>['amazon', 'pytorch', 'python', 'machine learning', 'deep learning', 'tensorflow']</t>
  </si>
  <si>
    <t>company_615</t>
  </si>
  <si>
    <t>â‚¬173,536 - â‚¬200,936</t>
  </si>
  <si>
    <t>â‚¬46,527 - â‚¬76,221</t>
  </si>
  <si>
    <t>company_624</t>
  </si>
  <si>
    <t>Paris, IDF, FR</t>
  </si>
  <si>
    <t>â‚¬39,254 - â‚¬58,876</t>
  </si>
  <si>
    <t>company_625</t>
  </si>
  <si>
    <t>6 months ago</t>
  </si>
  <si>
    <t>â‚¬141,572 - â‚¬168,972</t>
  </si>
  <si>
    <t>company_631</t>
  </si>
  <si>
    <t>â‚¬130,666 - â‚¬241,896</t>
  </si>
  <si>
    <t>company_634</t>
  </si>
  <si>
    <t>Rockville, MD</t>
  </si>
  <si>
    <t>Brentford, GB</t>
  </si>
  <si>
    <t>â‚¬124,333 - â‚¬207,218</t>
  </si>
  <si>
    <t>â‚¬109,603 - â‚¬118,736</t>
  </si>
  <si>
    <t>â‚¬120,567</t>
  </si>
  <si>
    <t>['python', 'sql', 'machine learning', 'azure', 'tableau']</t>
  </si>
  <si>
    <t>company_638</t>
  </si>
  <si>
    <t>â‚¬109,600 - â‚¬118,733</t>
  </si>
  <si>
    <t>['spark', 'aws', 'git', 'r', 'python', 'powerbi', 'scala', 'java', 'sql', 'machine learning', 'gcp', 'hadoop', 'azure', 'matplotlib', 'tableau']</t>
  </si>
  <si>
    <t>company_640</t>
  </si>
  <si>
    <t>Coraopolis, PA, US</t>
  </si>
  <si>
    <t>â‚¬86,958</t>
  </si>
  <si>
    <t>['pytorch', 'spark', 'python', 'machine learning', 'deep learning', 'azure', 'tensorflow']</t>
  </si>
  <si>
    <t>company_642</t>
  </si>
  <si>
    <t>â‚¬109,606 - â‚¬146,139</t>
  </si>
  <si>
    <t>company_643</t>
  </si>
  <si>
    <t>Minneapolis, MN . Hybrid</t>
  </si>
  <si>
    <t>Sugar Land, TX, US</t>
  </si>
  <si>
    <t>â‚¬103,871</t>
  </si>
  <si>
    <t>company_645</t>
  </si>
  <si>
    <t>â‚¬137,003 - â‚¬173,536</t>
  </si>
  <si>
    <t>company_647</t>
  </si>
  <si>
    <t>India, Bengaluru . Fully Remote</t>
  </si>
  <si>
    <t>â‚¬39,026</t>
  </si>
  <si>
    <t>company_653</t>
  </si>
  <si>
    <t>Colorado Springs, CO</t>
  </si>
  <si>
    <t>Huntsville, AL, US</t>
  </si>
  <si>
    <t>â‚¬109,608 - â‚¬127,875</t>
  </si>
  <si>
    <t>['pytorch', 'scikit-learn', 'machine learning', 'tensorflow']</t>
  </si>
  <si>
    <t>company_654</t>
  </si>
  <si>
    <t>â‚¬146,135 - â‚¬196,368</t>
  </si>
  <si>
    <t>â‚¬63,942 - â‚¬86,775</t>
  </si>
  <si>
    <t>company_662</t>
  </si>
  <si>
    <t>â‚¬147,968</t>
  </si>
  <si>
    <t>â‚¬137,005 - â‚¬173,538</t>
  </si>
  <si>
    <t>company_665</t>
  </si>
  <si>
    <t>South San Francisco, California, United States . On-site</t>
  </si>
  <si>
    <t>â‚¬159,835 - â‚¬182,668</t>
  </si>
  <si>
    <t>company_666</t>
  </si>
  <si>
    <t>SG</t>
  </si>
  <si>
    <t>â‚¬80,624</t>
  </si>
  <si>
    <t>['database']</t>
  </si>
  <si>
    <t>company_668</t>
  </si>
  <si>
    <t>Sacramento, California, United States . Jacksonville, Florida, United States . Austin, Texas, United States . Mexico City, Mexico . Ottawa, Ontario, Canada + 17 More . On-site</t>
  </si>
  <si>
    <t>â‚¬218,288</t>
  </si>
  <si>
    <t>company_670</t>
  </si>
  <si>
    <t>Annapolis Junction, Maryland, United States . On-site</t>
  </si>
  <si>
    <t>Herndon, VA, US</t>
  </si>
  <si>
    <t>â‚¬45,667 - â‚¬264,871</t>
  </si>
  <si>
    <t>company_675</t>
  </si>
  <si>
    <t>El Segundo, CA, US</t>
  </si>
  <si>
    <t>â‚¬141,574 - â‚¬182,674</t>
  </si>
  <si>
    <t>company_216</t>
  </si>
  <si>
    <t>United States . Hybrid</t>
  </si>
  <si>
    <t>â‚¬130,609 - â‚¬209,155</t>
  </si>
  <si>
    <t>['pytorch', 'aws', 'scikit-learn', 'python', 'sql', 'machine learning', 'deep learning', 'tensorflow']</t>
  </si>
  <si>
    <t>company_678</t>
  </si>
  <si>
    <t>Fort Huachuca, AZ . Fort Huachuca, Arizona, United States</t>
  </si>
  <si>
    <t>â‚¬60,287 - â‚¬96,820</t>
  </si>
  <si>
    <t>company_680</t>
  </si>
  <si>
    <t>Richmond, VA</t>
  </si>
  <si>
    <t>Plano, TX, US</t>
  </si>
  <si>
    <t>â‚¬91,334 - â‚¬109,600</t>
  </si>
  <si>
    <t>['git', 'r', 'python', 'sql', 'machine learning']</t>
  </si>
  <si>
    <t>Ashburn, VA</t>
  </si>
  <si>
    <t>â‚¬160,753 - â‚¬257,566</t>
  </si>
  <si>
    <t>['spark', 'aws', 'r', 'python', 'scala', 'java', 'sql', 'machine learning', 'hadoop', 'azure', 'tableau']</t>
  </si>
  <si>
    <t>company_685</t>
  </si>
  <si>
    <t>â‚¬79,654 - â‚¬125,307</t>
  </si>
  <si>
    <t>['spark', 'aws', 'python', 'sql', 'machine learning']</t>
  </si>
  <si>
    <t>company_689</t>
  </si>
  <si>
    <t>Greater Milwaukee</t>
  </si>
  <si>
    <t>Green Bay, WI, US</t>
  </si>
  <si>
    <t>â‚¬94,111 - â‚¬161,332</t>
  </si>
  <si>
    <t>['spark', 'aws', 'r', 'python', 'scala', 'sql', 'machine learning', 'gcp', 'deep learning', 'hadoop', 'azure', 'tableau']</t>
  </si>
  <si>
    <t>â‚¬149,604 - â‚¬182,849</t>
  </si>
  <si>
    <t>company_690</t>
  </si>
  <si>
    <t>Maplewood, MN . Hybrid</t>
  </si>
  <si>
    <t>Maplewood, MN, US</t>
  </si>
  <si>
    <t>â‚¬146,393 - â‚¬178,925</t>
  </si>
  <si>
    <t>company_694</t>
  </si>
  <si>
    <t>â‚¬200,936 - â‚¬264,868</t>
  </si>
  <si>
    <t>['amazon', 'machine learning']</t>
  </si>
  <si>
    <t>company_697</t>
  </si>
  <si>
    <t>['pandas', 'numpy', 'aws', 'r', 'python', 'scikit-learn', 'airflow', 'sql', 'machine learning', 'gcp', 'azure', 'matplotlib', 'tableau']</t>
  </si>
  <si>
    <t>â‚¬164,408 - â‚¬182,674</t>
  </si>
  <si>
    <t>company_702</t>
  </si>
  <si>
    <t>Dallas, TX</t>
  </si>
  <si>
    <t>â‚¬43,700</t>
  </si>
  <si>
    <t>company_704</t>
  </si>
  <si>
    <t>Elsbethen, Salzburg, Austria</t>
  </si>
  <si>
    <t>Fuschl am See, AT</t>
  </si>
  <si>
    <t>â‚¬29,498</t>
  </si>
  <si>
    <t>['sql', 'git', 'r', 'python']</t>
  </si>
  <si>
    <t>company_705</t>
  </si>
  <si>
    <t>â‚¬131,528 - â‚¬175,367</t>
  </si>
  <si>
    <t>company_706</t>
  </si>
  <si>
    <t>Los Angeles, CA . Hybrid</t>
  </si>
  <si>
    <t>Los Angeles, CA, US</t>
  </si>
  <si>
    <t>â‚¬104,128 - â‚¬192,721</t>
  </si>
  <si>
    <t>company_708</t>
  </si>
  <si>
    <t>â‚¬118,739 - â‚¬155,272</t>
  </si>
  <si>
    <t>company_709</t>
  </si>
  <si>
    <t>Chicago, Illinois, United States . Hybrid</t>
  </si>
  <si>
    <t>Buffalo Grove, IL, US</t>
  </si>
  <si>
    <t>â‚¬156,187</t>
  </si>
  <si>
    <t>company_714</t>
  </si>
  <si>
    <t>Ann Arbor, MI, US</t>
  </si>
  <si>
    <t>company_718</t>
  </si>
  <si>
    <t>Detroit, MI</t>
  </si>
  <si>
    <t>Columbus, OH, US</t>
  </si>
  <si>
    <t>â‚¬90,424</t>
  </si>
  <si>
    <t>['aws', 'r', 'python', 'scikit-learn', 'sql', 'machine learning', 'database', 'deep learning', 'tensorflow']</t>
  </si>
  <si>
    <t>company_723</t>
  </si>
  <si>
    <t>Miami, FL</t>
  </si>
  <si>
    <t>['pandas', 'spark', 'r', 'python', 'scikit-learn', 'sql', 'gcp', 'machine learning', 'tensorflow', 'tableau']</t>
  </si>
  <si>
    <t>company_727</t>
  </si>
  <si>
    <t>New York County, NY</t>
  </si>
  <si>
    <t>â‚¬100,473</t>
  </si>
  <si>
    <t>company_728</t>
  </si>
  <si>
    <t>â‚¬237,468</t>
  </si>
  <si>
    <t>company_737</t>
  </si>
  <si>
    <t>â‚¬114,170</t>
  </si>
  <si>
    <t>['pytorch', 'aws', 'r', 'python', 'sql', 'machine learning', 'database', 'deep learning', 'tensorflow']</t>
  </si>
  <si>
    <t>company_738</t>
  </si>
  <si>
    <t>â‚¬189,518 - â‚¬205,501</t>
  </si>
  <si>
    <t>['amazon', 'spark', 'git', 'r', 'python', 'linux', 'java', 'sql', 'machine learning', 'database', 'azure']</t>
  </si>
  <si>
    <t>company_742</t>
  </si>
  <si>
    <t>â‚¬68,501 - â‚¬73,068</t>
  </si>
  <si>
    <t>['amazon', 'r', 'python', 'sql', 'machine learning']</t>
  </si>
  <si>
    <t>company_744</t>
  </si>
  <si>
    <t>Lake Oswego, OR . Portland, OR . Hillsboro, OR</t>
  </si>
  <si>
    <t>Roseburg, OR, US</t>
  </si>
  <si>
    <t>â‚¬81,237 - â‚¬150,867</t>
  </si>
  <si>
    <t>['aws', 'r', 'python', 'sql', 'machine learning', 'azure']</t>
  </si>
  <si>
    <t>company_745</t>
  </si>
  <si>
    <t>San Francisco Bay Area . On-site</t>
  </si>
  <si>
    <t>â‚¬78,551 - â‚¬139,744</t>
  </si>
  <si>
    <t>['pandas', 'numpy', 'pytorch', 'aws', 'scikit-learn', 'python', 'tensorflow']</t>
  </si>
  <si>
    <t>company_746</t>
  </si>
  <si>
    <t>Omaha, NE, US</t>
  </si>
  <si>
    <t>â‚¬95,906 - â‚¬114,173</t>
  </si>
  <si>
    <t>company_754</t>
  </si>
  <si>
    <t>Alameda, CA, US</t>
  </si>
  <si>
    <t>â‚¬38,730 - â‚¬61,967</t>
  </si>
  <si>
    <t>company_757</t>
  </si>
  <si>
    <t>â‚¬150,707 - â‚¬200,940</t>
  </si>
  <si>
    <t>company_759</t>
  </si>
  <si>
    <t>â‚¬164,406</t>
  </si>
  <si>
    <t>['pandas', 'pytorch', 'aws', 'r', 'python', 'linux', 'java', 'machine learning', 'gcp', 'deep learning', 'azure', 'tensorflow']</t>
  </si>
  <si>
    <t>company_762</t>
  </si>
  <si>
    <t>Grand Rapids, MI</t>
  </si>
  <si>
    <t>Grand Rapids, MI, US</t>
  </si>
  <si>
    <t>â‚¬115,541</t>
  </si>
  <si>
    <t>['pandas', 'numpy', 'pytorch', 'r', 'python', 'sql', 'machine learning', 'azure', 'tensorflow']</t>
  </si>
  <si>
    <t>company_763</t>
  </si>
  <si>
    <t>Ahmedabad, Gujarat, India . Bengaluru, Karnataka, India</t>
  </si>
  <si>
    <t>â‚¬18,675</t>
  </si>
  <si>
    <t>['pytorch', 'deep learning', 'machine learning', 'python']</t>
  </si>
  <si>
    <t>â‚¬141,570</t>
  </si>
  <si>
    <t>['kubernetes', 'machine learning', 'python']</t>
  </si>
  <si>
    <t>company_770</t>
  </si>
  <si>
    <t>â‚¬109,607 - â‚¬137,007</t>
  </si>
  <si>
    <t>New York, New York . Hybrid</t>
  </si>
  <si>
    <t>â‚¬120,566 - â‚¬231,992</t>
  </si>
  <si>
    <t>company_774</t>
  </si>
  <si>
    <t>Fredericksburg, VA . Richmond, VA . San Francisco, CA . Seattle, WA</t>
  </si>
  <si>
    <t>Chevy Chase, MD, US</t>
  </si>
  <si>
    <t>â‚¬100,469 - â‚¬210,068</t>
  </si>
  <si>
    <t>['powerbi', 'r', 'python', 'java', 'sql', 'machine learning', 'tableau']</t>
  </si>
  <si>
    <t>company_780</t>
  </si>
  <si>
    <t>Los Angeles, CA</t>
  </si>
  <si>
    <t>â‚¬95,356 - â‚¬163,460</t>
  </si>
  <si>
    <t>['pandas', 'git', 'r', 'python', 'keras', 'machine learning']</t>
  </si>
  <si>
    <t>company_781</t>
  </si>
  <si>
    <t>Charlotte, NC . Charlotte, North Carolina, United States</t>
  </si>
  <si>
    <t>â‚¬95,902</t>
  </si>
  <si>
    <t>company_782</t>
  </si>
  <si>
    <t>Munich, Germany . Hybrid</t>
  </si>
  <si>
    <t>OH, US</t>
  </si>
  <si>
    <t>â‚¬62,797 - â‚¬72,216</t>
  </si>
  <si>
    <t>company_785</t>
  </si>
  <si>
    <t>Birmingham, AL, US</t>
  </si>
  <si>
    <t>â‚¬112,343 - â‚¬225,595</t>
  </si>
  <si>
    <t>['pytorch', 'spark', 'scikit-learn', 'python', 'sql', 'machine learning', 'tensorflow']</t>
  </si>
  <si>
    <t>company_786</t>
  </si>
  <si>
    <t>â‚¬147,962 - â‚¬271,261</t>
  </si>
  <si>
    <t>['aws', 'python', 'scala', 'java', 'gcp', 'machine learning']</t>
  </si>
  <si>
    <t>company_793</t>
  </si>
  <si>
    <t>â‚¬74,793</t>
  </si>
  <si>
    <t>company_795</t>
  </si>
  <si>
    <t>Calgary, Alberta, Canada . Canada, Moyen-Chari, Chad . Greater Calgary Metropolitan Area</t>
  </si>
  <si>
    <t>â‚¬52,067</t>
  </si>
  <si>
    <t>['scikit-learn', 'python']</t>
  </si>
  <si>
    <t>company_796</t>
  </si>
  <si>
    <t>Augusta, GA</t>
  </si>
  <si>
    <t>â‚¬39,797 - â‚¬87,544</t>
  </si>
  <si>
    <t>company_797</t>
  </si>
  <si>
    <t>â‚¬59,210</t>
  </si>
  <si>
    <t>['git', 'python', 'airflow', 'sql', 'machine learning', 'hadoop', 'azure']</t>
  </si>
  <si>
    <t>company_800</t>
  </si>
  <si>
    <t>â‚¬77,313 - â‚¬96,639</t>
  </si>
  <si>
    <t>['spark', 'aws', 'git', 'python', 'docker', 'airflow', 'sql', 'machine learning', 'tableau']</t>
  </si>
  <si>
    <t>company_804</t>
  </si>
  <si>
    <t>Houston, TX . Houston, Texas, Statele Unite Ale Americii . Houston, Texas, USA</t>
  </si>
  <si>
    <t>Bedford, MA, US</t>
  </si>
  <si>
    <t>['deep learning', 'machine learning', 'python']</t>
  </si>
  <si>
    <t>company_807</t>
  </si>
  <si>
    <t>â‚¬76,471 - â‚¬101,121</t>
  </si>
  <si>
    <t>['r', 'python', 'java', 'sql', 'machine learning', 'database', 'deep learning', 'tableau']</t>
  </si>
  <si>
    <t>Henrietta, NY</t>
  </si>
  <si>
    <t>â‚¬64,121 - â‚¬96,177</t>
  </si>
  <si>
    <t>â‚¬55,940 - â‚¬123,063</t>
  </si>
  <si>
    <t>â‚¬195,456</t>
  </si>
  <si>
    <t>company_445</t>
  </si>
  <si>
    <t>Ventura, CA, US</t>
  </si>
  <si>
    <t>â‚¬94,264 - â‚¬172,810</t>
  </si>
  <si>
    <t>company_814</t>
  </si>
  <si>
    <t>â‚¬182,673 - â‚¬274,006</t>
  </si>
  <si>
    <t>company_816</t>
  </si>
  <si>
    <t>â‚¬144,893 - â‚¬161,660</t>
  </si>
  <si>
    <t>['aws', 'python', 'machine learning', 'azure', 'deep learning', 'tableau']</t>
  </si>
  <si>
    <t>company_817</t>
  </si>
  <si>
    <t>â‚¬137,003 - â‚¬148,876</t>
  </si>
  <si>
    <t>['pandas', 'aws', 'r', 'python', 'scikit-learn', 'sql', 'machine learning', 'gcp', 'azure']</t>
  </si>
  <si>
    <t>company_819</t>
  </si>
  <si>
    <t>â‚¬86,771 - â‚¬114,171</t>
  </si>
  <si>
    <t>['pandas', 'numpy', 'pytorch', 'aws', 'r', 'python', 'scikit-learn', 'sql', 'machine learning', 'gcp', 'deep learning', 'azure', 'tensorflow', 'tableau']</t>
  </si>
  <si>
    <t>â‚¬121,476 - â‚¬225,595</t>
  </si>
  <si>
    <t>â‚¬189,520 - â‚¬205,503</t>
  </si>
  <si>
    <t>company_825</t>
  </si>
  <si>
    <t>Remote - US . San Diego, California, United States . Fully Remote</t>
  </si>
  <si>
    <t>â‚¬144,750 - â‚¬229,724</t>
  </si>
  <si>
    <t>company_832</t>
  </si>
  <si>
    <t>Renton, WA, US</t>
  </si>
  <si>
    <t>â‚¬159,835</t>
  </si>
  <si>
    <t>['r', 'python', 'scala', 'sql', 'machine learning', 'database', 'azure', 'tableau']</t>
  </si>
  <si>
    <t>Visakhapatnam Rural mandal, India</t>
  </si>
  <si>
    <t>â‚¬24.46B</t>
  </si>
  <si>
    <t>â‚¬10,053</t>
  </si>
  <si>
    <t>company_833</t>
  </si>
  <si>
    <t>Canada . Vancouver, BC, Canada . Hybrid</t>
  </si>
  <si>
    <t>â‚¬118,741 - â‚¬155,273</t>
  </si>
  <si>
    <t>â‚¬137,008 - â‚¬173,541</t>
  </si>
  <si>
    <t>['pytorch', 'spark', 'aws', 'database', 'sql', 'machine learning', 'deep learning', 'azure', 'tensorflow']</t>
  </si>
  <si>
    <t>company_836</t>
  </si>
  <si>
    <t>Dublin, Ireland . Hybrid</t>
  </si>
  <si>
    <t>â‚¬1.27B</t>
  </si>
  <si>
    <t>â‚¬98,012</t>
  </si>
  <si>
    <t>â‚¬29,797 - â‚¬32,901</t>
  </si>
  <si>
    <t>['spark', 'aws', 'python', 'sql', 'machine learning', 'deep learning', 'azure']</t>
  </si>
  <si>
    <t>Redwood City, CA (Hybrid) . Hybrid</t>
  </si>
  <si>
    <t>â‚¬220,119</t>
  </si>
  <si>
    <t>company_837</t>
  </si>
  <si>
    <t>Waltham, MA</t>
  </si>
  <si>
    <t>â‚¬36.93B</t>
  </si>
  <si>
    <t>â‚¬126,957 - â‚¬149,790</t>
  </si>
  <si>
    <t>['git', 'r', 'python', 'sql', 'azure']</t>
  </si>
  <si>
    <t>Pittsburgh, PA . Hybrid</t>
  </si>
  <si>
    <t>â‚¬108,761 - â‚¬132,929</t>
  </si>
  <si>
    <t>['pytorch', 'aws', 'python', 'machine learning', 'deep learning']</t>
  </si>
  <si>
    <t>â‚¬5.23B</t>
  </si>
  <si>
    <t>Los Angeles County, CA</t>
  </si>
  <si>
    <t>â‚¬121,475 - â‚¬132,435</t>
  </si>
  <si>
    <t>['pandas', 'numpy', 'pytorch', 'aws', 'scikit-learn', 'python', 'scipy', 'sql', 'machine learning', 'gcp', 'azure', 'tensorflow']</t>
  </si>
  <si>
    <t>Arlington, VA . Bellevue, WA</t>
  </si>
  <si>
    <t>â‚¬832.81B</t>
  </si>
  <si>
    <t>â‚¬155,268 - â‚¬177,188</t>
  </si>
  <si>
    <t>['amazon', 'aws', 'r', 'python', 'sql', 'machine learning', 'tableau']</t>
  </si>
  <si>
    <t>Princeton, NJ . New York, NY</t>
  </si>
  <si>
    <t>â‚¬118,737 - â‚¬168,970</t>
  </si>
  <si>
    <t>['pytorch', 'python', 'machine learning', 'keras', 'deep learning', 'tensorflow']</t>
  </si>
  <si>
    <t>Chennai, Tamil Nadu, India . Hyderabad, Telangana, India</t>
  </si>
  <si>
    <t>â‚¬276.82B</t>
  </si>
  <si>
    <t>â‚¬20,926</t>
  </si>
  <si>
    <t>['hadoop', 'git', 'gcp', 'python']</t>
  </si>
  <si>
    <t>Washington, United States</t>
  </si>
  <si>
    <t>â‚¬159,834</t>
  </si>
  <si>
    <t>â‚¬117.13B</t>
  </si>
  <si>
    <t>â‚¬100,474 - â‚¬132,440</t>
  </si>
  <si>
    <t>New York, NY . Chicago, IL</t>
  </si>
  <si>
    <t>â‚¬66,119 - â‚¬99,994</t>
  </si>
  <si>
    <t>['amazon', 'aws']</t>
  </si>
  <si>
    <t>company_840</t>
  </si>
  <si>
    <t>East Coast, United States . New York, United States . Hybrid</t>
  </si>
  <si>
    <t>Altrincham, GB</t>
  </si>
  <si>
    <t>â‚¬124,220 - â‚¬168,060</t>
  </si>
  <si>
    <t>company_844</t>
  </si>
  <si>
    <t>â‚¬94.59B</t>
  </si>
  <si>
    <t>â‚¬168,973</t>
  </si>
  <si>
    <t>company_845</t>
  </si>
  <si>
    <t>â‚¬115,085 - â‚¬152,531</t>
  </si>
  <si>
    <t>company_846</t>
  </si>
  <si>
    <t>Greater Birmingham, Alabama Area . Hybrid</t>
  </si>
  <si>
    <t>Boulder, CO, US</t>
  </si>
  <si>
    <t>â‚¬118,740 - â‚¬155,273</t>
  </si>
  <si>
    <t>Markham, Ontario, Canada . Toronto, Ontario, Canada . Hybrid</t>
  </si>
  <si>
    <t>â‚¬73,454</t>
  </si>
  <si>
    <t>Springfield, VA</t>
  </si>
  <si>
    <t>â‚¬81,926 - â‚¬148,097</t>
  </si>
  <si>
    <t>['git', 'r', 'python', 'docker', 'linux', 'java', 'sql', 'database', 'deep learning']</t>
  </si>
  <si>
    <t>â‚¬155,266 - â‚¬178,099</t>
  </si>
  <si>
    <t>Bellevue, WA . San Francisco, CA . Seattle, WA . Palo Alto, CA</t>
  </si>
  <si>
    <t>â‚¬125,226 - â‚¬216,010</t>
  </si>
  <si>
    <t>company_848</t>
  </si>
  <si>
    <t>Cambridge, MA . Hybrid</t>
  </si>
  <si>
    <t>Basel, BS, CH</t>
  </si>
  <si>
    <t>â‚¬161.05B</t>
  </si>
  <si>
    <t>â‚¬79,461</t>
  </si>
  <si>
    <t>â‚¬157,737 - â‚¬248,339</t>
  </si>
  <si>
    <t>â‚¬15,539</t>
  </si>
  <si>
    <t>['python', 'neural network', 'sql', 'machine learning', 'deep learning']</t>
  </si>
  <si>
    <t>â‚¬62.89B</t>
  </si>
  <si>
    <t>â‚¬146,141 - â‚¬182,673</t>
  </si>
  <si>
    <t>â‚¬44,521 - â‚¬59,359</t>
  </si>
  <si>
    <t>['database', 'sql', 'r', 'python']</t>
  </si>
  <si>
    <t>â‚¬151,799 - â‚¬278,294</t>
  </si>
  <si>
    <t>company_851</t>
  </si>
  <si>
    <t>Bangalore, Karnataka, India . Hybrid</t>
  </si>
  <si>
    <t>Edison, NJ, US</t>
  </si>
  <si>
    <t>â‚¬34,569</t>
  </si>
  <si>
    <t>Veldhoven, North Brabant, Netherlands</t>
  </si>
  <si>
    <t>â‚¬173.51B</t>
  </si>
  <si>
    <t>â‚¬82,367</t>
  </si>
  <si>
    <t>company_852</t>
  </si>
  <si>
    <t>â‚¬130,610</t>
  </si>
  <si>
    <t>['spark', 'r', 'python', 'docker', 'scala', 'java', 'sql', 'machine learning', 'kubernetes', 'deep learning', 'tensorflow']</t>
  </si>
  <si>
    <t>company_420</t>
  </si>
  <si>
    <t>Bangkok, Bangkok, Thailand . On-site</t>
  </si>
  <si>
    <t>â‚¬54,267</t>
  </si>
  <si>
    <t>â‚¬1.68T</t>
  </si>
  <si>
    <t>â‚¬48,604</t>
  </si>
  <si>
    <t>['pytorch', 'spark', 'r', 'python', 'scikit-learn', 'scala', 'machine learning', 'deep learning', 'hadoop', 'azure', 'tensorflow']</t>
  </si>
  <si>
    <t>â‚¬167,139</t>
  </si>
  <si>
    <t>â‚¬34,568</t>
  </si>
  <si>
    <t>company_859</t>
  </si>
  <si>
    <t>Cardiff, London or Remote (UK) . Fully Remote</t>
  </si>
  <si>
    <t>â‚¬4.36B</t>
  </si>
  <si>
    <t>â‚¬86,767 - â‚¬105,033</t>
  </si>
  <si>
    <t>Louisville, KY</t>
  </si>
  <si>
    <t>â‚¬51.83B</t>
  </si>
  <si>
    <t>â‚¬107,773</t>
  </si>
  <si>
    <t>['pandas', 'numpy', 'pytorch', 'git', 'r', 'python', 'scikit-learn', 'sql', 'gcp', 'machine learning', 'tensorflow', 'tableau']</t>
  </si>
  <si>
    <t>company_861</t>
  </si>
  <si>
    <t>Oklahoma City, OK</t>
  </si>
  <si>
    <t>Oklahoma City, OK, US</t>
  </si>
  <si>
    <t>â‚¬114,172</t>
  </si>
  <si>
    <t>company_864</t>
  </si>
  <si>
    <t>St Louis, MO</t>
  </si>
  <si>
    <t>Brentwood, MO, US</t>
  </si>
  <si>
    <t>â‚¬101,079 - â‚¬157,680</t>
  </si>
  <si>
    <t>['pandas', 'amazon', 'powerbi', 'git', 'r', 'python', 'scipy', 'sql', 'machine learning', 'database', 'azure', 'matplotlib', 'tableau']</t>
  </si>
  <si>
    <t>â‚¬155,269 - â‚¬189,976</t>
  </si>
  <si>
    <t>company_667</t>
  </si>
  <si>
    <t>Mountain View, CA, US . San Francisco, CA, US . Hybrid</t>
  </si>
  <si>
    <t>â‚¬226,506</t>
  </si>
  <si>
    <t>company_083</t>
  </si>
  <si>
    <t>Madrid, Community of Madrid, Spain . Hybrid</t>
  </si>
  <si>
    <t>â‚¬25.51B</t>
  </si>
  <si>
    <t>â‚¬32,158</t>
  </si>
  <si>
    <t>['pandas', 'numpy', 'aws', 'r', 'python', 'scikit-learn', 'machine learning', 'gcp', 'deep learning', 'azure', 'matplotlib']</t>
  </si>
  <si>
    <t>company_870</t>
  </si>
  <si>
    <t>Chicago, Illinois, United States . New York, New York, United States . Hybrid</t>
  </si>
  <si>
    <t>â‚¬159,841 - â‚¬205,507</t>
  </si>
  <si>
    <t>â‚¬150,499 - â‚¬287,662</t>
  </si>
  <si>
    <t>['r', 'python', 'sql', 'database', 'machine learning']</t>
  </si>
  <si>
    <t>company_871</t>
  </si>
  <si>
    <t>â‚¬164,407 - â‚¬191,806</t>
  </si>
  <si>
    <t>['pytorch', 'aws', 'machine learning', 'azure', 'deep learning', 'tensorflow']</t>
  </si>
  <si>
    <t>Linthicum Heights, MD . On-site</t>
  </si>
  <si>
    <t>â‚¬75.05B</t>
  </si>
  <si>
    <t>â‚¬158,745 - â‚¬197,653</t>
  </si>
  <si>
    <t>['pandas', 'numpy', 'python', 'sql', 'database', 'matplotlib', 'tableau']</t>
  </si>
  <si>
    <t>company_152</t>
  </si>
  <si>
    <t>â‚¬19.70B</t>
  </si>
  <si>
    <t>â‚¬125,135</t>
  </si>
  <si>
    <t>company_873</t>
  </si>
  <si>
    <t>Santa Clara, CA . On-site</t>
  </si>
  <si>
    <t>â‚¬146,140 - â‚¬219,206</t>
  </si>
  <si>
    <t>Stamford, CT</t>
  </si>
  <si>
    <t>â‚¬95,906</t>
  </si>
  <si>
    <t>Englewood, CO . On-site</t>
  </si>
  <si>
    <t>â‚¬75,957 - â‚¬108,508</t>
  </si>
  <si>
    <t>['amazon', 'r', 'python', 'sql', 'database', 'machine learning', 'tableau']</t>
  </si>
  <si>
    <t>company_875</t>
  </si>
  <si>
    <t>Princeton, NJ</t>
  </si>
  <si>
    <t>Princeton, NJ, US</t>
  </si>
  <si>
    <t>â‚¬150,270 - â‚¬224,665</t>
  </si>
  <si>
    <t>company_878</t>
  </si>
  <si>
    <t>San Francisco, CA . San Jose, CA . Seattle, WA</t>
  </si>
  <si>
    <t>â‚¬144.62B</t>
  </si>
  <si>
    <t>â‚¬99,560 - â‚¬175,732</t>
  </si>
  <si>
    <t>['spark', 'python', 'sql', 'hadoop', 'machine learning']</t>
  </si>
  <si>
    <t>company_879</t>
  </si>
  <si>
    <t>â‚¬41,559</t>
  </si>
  <si>
    <t>['pandas', 'numpy', 'pytorch', 'aws', 'scikit-learn', 'python', 'docker', 'sql', 'machine learning', 'kubernetes', 'azure', 'tensorflow']</t>
  </si>
  <si>
    <t>company_880</t>
  </si>
  <si>
    <t>â‚¬94,812 - â‚¬142,214</t>
  </si>
  <si>
    <t>['aws', 'scikit-learn', 'python', 'sql', 'machine learning', 'gcp', 'azure']</t>
  </si>
  <si>
    <t>â‚¬110,516 - â‚¬120,563</t>
  </si>
  <si>
    <t>â‚¬54,804</t>
  </si>
  <si>
    <t>['neural network', 'machine learning', 'r', 'python']</t>
  </si>
  <si>
    <t>company_883</t>
  </si>
  <si>
    <t>Newport Beach, CA . ÐÑŒÑŽÐ¿Ð¾Ñ€Ñ‚-Ð‘Ð¸Ñ‡, ÐšÐ°Ð»Ð¸Ñ„Ð¾Ñ€Ð½Ð¸Ñ, Ð¡Ð¾ÐµÐ´Ð¸Ð½ÐµÐ½Ð½Ñ‹Ðµ Ð¨Ñ‚Ð°Ñ‚Ñ‹ ÐÐ¼ÐµÑ€Ð¸ÐºÐ¸</t>
  </si>
  <si>
    <t>Walldorf, BW, DE</t>
  </si>
  <si>
    <t>â‚¬104.16B</t>
  </si>
  <si>
    <t>â‚¬114,167 - â‚¬127,867</t>
  </si>
  <si>
    <t>['pytorch', 'machine learning', 'database', 'deep learning', 'tensorflow']</t>
  </si>
  <si>
    <t>Canada . Fully Remote</t>
  </si>
  <si>
    <t>â‚¬200,938 - â‚¬246,604</t>
  </si>
  <si>
    <t>['sql', 'machine learning']</t>
  </si>
  <si>
    <t>company_032</t>
  </si>
  <si>
    <t>San Diego, CA . Hybrid</t>
  </si>
  <si>
    <t>Minato City, JP</t>
  </si>
  <si>
    <t>â‚¬84.89B</t>
  </si>
  <si>
    <t>â‚¬149,700 - â‚¬224,593</t>
  </si>
  <si>
    <t>['pandas', 'numpy', 'scikit-learn', 'python', 'sql', 'machine learning', 'deep learning']</t>
  </si>
  <si>
    <t>â‚¬36,538 - â‚¬54,805</t>
  </si>
  <si>
    <t>â‚¬73,072</t>
  </si>
  <si>
    <t>Bengaluru East, Karnataka, India</t>
  </si>
  <si>
    <t>â‚¬71.08B</t>
  </si>
  <si>
    <t>â‚¬9,585</t>
  </si>
  <si>
    <t>New York, United States . Hybrid</t>
  </si>
  <si>
    <t>â‚¬137,008 - â‚¬150,708</t>
  </si>
  <si>
    <t>['pandas', 'pytorch', 'aws', 'r', 'python', 'sql', 'machine learning', 'deep learning']</t>
  </si>
  <si>
    <t>company_885</t>
  </si>
  <si>
    <t>Bethesda, MD . Hybrid</t>
  </si>
  <si>
    <t>â‚¬130,245 - â‚¬203,539</t>
  </si>
  <si>
    <t>company_889</t>
  </si>
  <si>
    <t>Brooklyn, NY</t>
  </si>
  <si>
    <t>â‚¬187,238 - â‚¬216,464</t>
  </si>
  <si>
    <t>['spark', 'python', 'scala', 'java', 'airflow', 'gcp', 'machine learning', 'tensorflow']</t>
  </si>
  <si>
    <t>â‚¬200,936 - â‚¬296,835</t>
  </si>
  <si>
    <t>Hillsboro, OR . Portland, OR . Lake Oswego, OR</t>
  </si>
  <si>
    <t>â‚¬81,245 - â‚¬150,875</t>
  </si>
  <si>
    <t>company_894</t>
  </si>
  <si>
    <t>Benbrook, TX, US</t>
  </si>
  <si>
    <t>company_895</t>
  </si>
  <si>
    <t>Centreville, VA, US</t>
  </si>
  <si>
    <t>â‚¬110,337 - â‚¬198,564</t>
  </si>
  <si>
    <t>company_896</t>
  </si>
  <si>
    <t>â‚¬75,815</t>
  </si>
  <si>
    <t>â‚¬155,270 - â‚¬212,810</t>
  </si>
  <si>
    <t>â‚¬24,203</t>
  </si>
  <si>
    <t>â‚¬58,368 - â‚¬156,350</t>
  </si>
  <si>
    <t>['aws', 'powerbi', 'r', 'python', 'sql', 'machine learning', 'tableau']</t>
  </si>
  <si>
    <t>New York, New York, United States . On-site</t>
  </si>
  <si>
    <t>â‚¬11.38B</t>
  </si>
  <si>
    <t>â‚¬138,834 - â‚¬173,541</t>
  </si>
  <si>
    <t>â‚¬179,015 - â‚¬246,144</t>
  </si>
  <si>
    <t>Toronto, Canada . Hybrid</t>
  </si>
  <si>
    <t>â‚¬4.42B</t>
  </si>
  <si>
    <t>â‚¬98,647</t>
  </si>
  <si>
    <t>â‚¬9.87B</t>
  </si>
  <si>
    <t>â‚¬36,101</t>
  </si>
  <si>
    <t>Vancouver, British Columbia, Canada . Marina del Rey, CA . Los Angeles Metropolitan Area . Kirkland, WA . Redwood City, CA</t>
  </si>
  <si>
    <t>â‚¬33.70B</t>
  </si>
  <si>
    <t>â‚¬121,844 - â‚¬176,460</t>
  </si>
  <si>
    <t>['git', 'python', 'docker', 'sql', 'machine learning', 'kubernetes', 'deep learning']</t>
  </si>
  <si>
    <t>â‚¬36,342</t>
  </si>
  <si>
    <t>company_905</t>
  </si>
  <si>
    <t>Buffalo, NY, US</t>
  </si>
  <si>
    <t>â‚¬105,680 - â‚¬176,131</t>
  </si>
  <si>
    <t>['python', 'neural network', 'sql', 'database', 'machine learning', 'tableau']</t>
  </si>
  <si>
    <t>â‚¬35.42B</t>
  </si>
  <si>
    <t>â‚¬157,013 - â‚¬263,790</t>
  </si>
  <si>
    <t>Gurugram, Haryana, India</t>
  </si>
  <si>
    <t>â‚¬24.16B</t>
  </si>
  <si>
    <t>â‚¬10,048</t>
  </si>
  <si>
    <t>['aws', 'machine learning']</t>
  </si>
  <si>
    <t>company_909</t>
  </si>
  <si>
    <t>Milwaukee, WI, US</t>
  </si>
  <si>
    <t>â‚¬129,722 - â‚¬230,343</t>
  </si>
  <si>
    <t>â‚¬96,818</t>
  </si>
  <si>
    <t>['pytorch', 'spark', 'aws', 'python', 'machine learning', 'gcp', 'deep learning', 'keras', 'azure', 'tensorflow']</t>
  </si>
  <si>
    <t>company_912</t>
  </si>
  <si>
    <t>Scottsdale, AZ, US</t>
  </si>
  <si>
    <t>â‚¬35,019</t>
  </si>
  <si>
    <t>['pandas', 'numpy', 'pytorch', 'spark', 'git', 'python', 'docker', 'database', 'deep learning', 'sql', 'machine learning', 'gcp', 'kubernetes', 'keras', 'azure', 'matplotlib', 'tensorflow']</t>
  </si>
  <si>
    <t>â‚¬192,721 - â‚¬216,467</t>
  </si>
  <si>
    <t>â‚¬36.38B</t>
  </si>
  <si>
    <t>â‚¬144,860 - â‚¬165,319</t>
  </si>
  <si>
    <t>['spark', 'aws', 'r', 'python', 'scala', 'sql', 'machine learning', 'database', 'deep learning']</t>
  </si>
  <si>
    <t>company_914</t>
  </si>
  <si>
    <t>Los Angeles Metropolitan Area . On-site</t>
  </si>
  <si>
    <t>â‚¬100,470 - â‚¬114,170</t>
  </si>
  <si>
    <t>company_695</t>
  </si>
  <si>
    <t>Maryland, United States</t>
  </si>
  <si>
    <t>â‚¬85,856 - â‚¬167,004</t>
  </si>
  <si>
    <t>['pytorch', 'aws', 'r', 'python', 'machine learning', 'gcp', 'azure', 'tensorflow']</t>
  </si>
  <si>
    <t>company_916</t>
  </si>
  <si>
    <t>â‚¬138,102 - â‚¬172,625</t>
  </si>
  <si>
    <t>company_917</t>
  </si>
  <si>
    <t>â‚¬1.34T</t>
  </si>
  <si>
    <t>â‚¬42,493</t>
  </si>
  <si>
    <t>['pandas', 'r', 'python', 'sql', 'database']</t>
  </si>
  <si>
    <t>â‚¬119.23B</t>
  </si>
  <si>
    <t>â‚¬27,276 - â‚¬52,697</t>
  </si>
  <si>
    <t>['database', 'machine learning', 'java']</t>
  </si>
  <si>
    <t>Doral, FL</t>
  </si>
  <si>
    <t>â‚¬104,676 - â‚¬230,258</t>
  </si>
  <si>
    <t>['r', 'python', 'linux', 'java', 'sql', 'machine learning', 'database', 'deep learning']</t>
  </si>
  <si>
    <t>â‚¬109,786 - â‚¬164,585</t>
  </si>
  <si>
    <t>['pytorch', 'aws', 'scikit-learn', 'python', 'machine learning']</t>
  </si>
  <si>
    <t>â‚¬114,973 - â‚¬141,567</t>
  </si>
  <si>
    <t>company_922</t>
  </si>
  <si>
    <t>Columbus, OH . Hybrid</t>
  </si>
  <si>
    <t>Hartford, CT, US</t>
  </si>
  <si>
    <t>â‚¬21.55B</t>
  </si>
  <si>
    <t>â‚¬100,036 - â‚¬150,050</t>
  </si>
  <si>
    <t>company_416</t>
  </si>
  <si>
    <t>Washington DC-Baltimore Area . Fully Remote</t>
  </si>
  <si>
    <t>â‚¬1.80B</t>
  </si>
  <si>
    <t>â‚¬164,407 - â‚¬182,673</t>
  </si>
  <si>
    <t>['aws', 'python', 'machine learning', 'gcp', 'kubernetes', 'azure']</t>
  </si>
  <si>
    <t>company_415</t>
  </si>
  <si>
    <t>United States, Denver . On-site</t>
  </si>
  <si>
    <t>â‚¬4.50B</t>
  </si>
  <si>
    <t>â‚¬172,624</t>
  </si>
  <si>
    <t>company_893</t>
  </si>
  <si>
    <t>Lexington, MA</t>
  </si>
  <si>
    <t>Heerlen, LI, NL</t>
  </si>
  <si>
    <t>â‚¬117,553 - â‚¬159,840</t>
  </si>
  <si>
    <t>['aws', 'git', 'r', 'python', 'docker']</t>
  </si>
  <si>
    <t>â‚¬11.33B</t>
  </si>
  <si>
    <t>â‚¬138,826 - â‚¬173,533</t>
  </si>
  <si>
    <t>Charlotte, AR . Fully Remote</t>
  </si>
  <si>
    <t>â‚¬25,211</t>
  </si>
  <si>
    <t>â‚¬98,642 - â‚¬123,302</t>
  </si>
  <si>
    <t>company_924</t>
  </si>
  <si>
    <t>Gainesville, FL</t>
  </si>
  <si>
    <t>Gainesville, FL, US</t>
  </si>
  <si>
    <t>â‚¬55,715 - â‚¬58,455</t>
  </si>
  <si>
    <t>['pandas', 'numpy', 'pytorch', 'r', 'python', 'scikit-learn', 'scipy', 'machine learning', 'keras', 'deep learning', 'tensorflow']</t>
  </si>
  <si>
    <t>company_925</t>
  </si>
  <si>
    <t>San Francisco Bay Area . Hybrid</t>
  </si>
  <si>
    <t>Dublin 2, IE</t>
  </si>
  <si>
    <t>â‚¬164,401 - â‚¬214,633</t>
  </si>
  <si>
    <t>['pandas', 'spark', 'aws', 'r', 'python', 'scikit-learn', 'opencv', 'sql', 'machine learning', 'gcp', 'deep learning']</t>
  </si>
  <si>
    <t>company_928</t>
  </si>
  <si>
    <t>Barcelona, Catalonia, Spain</t>
  </si>
  <si>
    <t>Barcelona, CT, ES</t>
  </si>
  <si>
    <t>â‚¬53,099</t>
  </si>
  <si>
    <t>company_930</t>
  </si>
  <si>
    <t>â‚¬167,749 - â‚¬215,676</t>
  </si>
  <si>
    <t>['pytorch', 'python', 'java', 'sql', 'machine learning', 'deep learning', 'tensorflow']</t>
  </si>
  <si>
    <t>company_932</t>
  </si>
  <si>
    <t>Palo Alto, CA . Vancouver, WA . Spring, TX</t>
  </si>
  <si>
    <t>â‚¬140,657 - â‚¬216,600</t>
  </si>
  <si>
    <t>['sql', 'powerbi', 'machine learning', 'python']</t>
  </si>
  <si>
    <t>company_937</t>
  </si>
  <si>
    <t>â‚¬111,435</t>
  </si>
  <si>
    <t>â‚¬81.76B</t>
  </si>
  <si>
    <t>â‚¬139,285 - â‚¬239,614</t>
  </si>
  <si>
    <t>Maplewood, MN</t>
  </si>
  <si>
    <t>â‚¬125,529 - â‚¬153,424</t>
  </si>
  <si>
    <t>â‚¬7.79B</t>
  </si>
  <si>
    <t>â‚¬184,866 - â‚¬207,973</t>
  </si>
  <si>
    <t>company_941</t>
  </si>
  <si>
    <t>Dublin, IE</t>
  </si>
  <si>
    <t>â‚¬153.30B</t>
  </si>
  <si>
    <t>â‚¬10,527 - â‚¬26,188</t>
  </si>
  <si>
    <t>Denver, CO - Remote . Fully Remote</t>
  </si>
  <si>
    <t>company_214</t>
  </si>
  <si>
    <t>Washington, DC . Hybrid</t>
  </si>
  <si>
    <t>MontrÃ©al, QC, CA</t>
  </si>
  <si>
    <t>â‚¬17.25B</t>
  </si>
  <si>
    <t>â‚¬105,769</t>
  </si>
  <si>
    <t>['r', 'python', 'sql', 'machine learning', 'matplotlib', 'tableau']</t>
  </si>
  <si>
    <t>â‚¬258,479</t>
  </si>
  <si>
    <t>London, England, United Kingdom</t>
  </si>
  <si>
    <t>â‚¬76,371</t>
  </si>
  <si>
    <t>['powerbi', 'python', 'sql', 'machine learning', 'tableau']</t>
  </si>
  <si>
    <t>company_947</t>
  </si>
  <si>
    <t>â‚¬109,604 - â‚¬200,937</t>
  </si>
  <si>
    <t>â‚¬8.05B</t>
  </si>
  <si>
    <t>â‚¬184,816 - â‚¬276,788</t>
  </si>
  <si>
    <t>â‚¬230.27B</t>
  </si>
  <si>
    <t>â‚¬103,877 - â‚¬144,998</t>
  </si>
  <si>
    <t>company_949</t>
  </si>
  <si>
    <t>â‚¬155,272 - â‚¬200,939</t>
  </si>
  <si>
    <t>['pytorch', 'aws', 'r', 'python', 'machine learning', 'gcp', 'deep learning']</t>
  </si>
  <si>
    <t>company_950</t>
  </si>
  <si>
    <t>â‚¬109,601 - â‚¬173,534</t>
  </si>
  <si>
    <t>company_951</t>
  </si>
  <si>
    <t>â‚¬136,032 - â‚¬223,478</t>
  </si>
  <si>
    <t>â‚¬53.25B</t>
  </si>
  <si>
    <t>â‚¬72,513</t>
  </si>
  <si>
    <t>company_952</t>
  </si>
  <si>
    <t>Culver City, CA, US</t>
  </si>
  <si>
    <t>â‚¬109,600 - â‚¬137,000</t>
  </si>
  <si>
    <t>New York City, NY . San Francisco, CA . Hybrid</t>
  </si>
  <si>
    <t>â‚¬175,364 - â‚¬241,124</t>
  </si>
  <si>
    <t>company_105</t>
  </si>
  <si>
    <t>Gurgaon, Haryana, India</t>
  </si>
  <si>
    <t>â‚¬24,227</t>
  </si>
  <si>
    <t>['aws', 'python', 'docker', 'machine learning', 'gcp', 'kubernetes', 'azure']</t>
  </si>
  <si>
    <t>company_954</t>
  </si>
  <si>
    <t>Palo Alto, CA</t>
  </si>
  <si>
    <t>CA, US</t>
  </si>
  <si>
    <t>â‚¬137,004 - â‚¬228,336</t>
  </si>
  <si>
    <t>â‚¬118,741 - â‚¬182,674</t>
  </si>
  <si>
    <t>â‚¬121.37B</t>
  </si>
  <si>
    <t>â‚¬76,206 - â‚¬203,204</t>
  </si>
  <si>
    <t>['git', 'python', 'docker', 'sql', 'machine learning', 'kubernetes', 'azure']</t>
  </si>
  <si>
    <t>â‚¬350.37B</t>
  </si>
  <si>
    <t>â‚¬42,738</t>
  </si>
  <si>
    <t>â‚¬95,583 - â‚¬172,782</t>
  </si>
  <si>
    <t>company_962</t>
  </si>
  <si>
    <t>â‚¬138,011 - â‚¬166,416</t>
  </si>
  <si>
    <t>â‚¬184,499 - â‚¬217,378</t>
  </si>
  <si>
    <t>Stockholm, Stockholm County, Sweden</t>
  </si>
  <si>
    <t>â‚¬17.11B</t>
  </si>
  <si>
    <t>â‚¬52,510</t>
  </si>
  <si>
    <t>['spark', 'scikit-learn', 'python', 'scala', 'java', 'machine learning', 'keras', 'deep learning', 'tensorflow']</t>
  </si>
  <si>
    <t>company_964</t>
  </si>
  <si>
    <t>Herndon, VA</t>
  </si>
  <si>
    <t>Westminster, CO, US</t>
  </si>
  <si>
    <t>â‚¬123,307 - â‚¬168,973</t>
  </si>
  <si>
    <t>['pandas', 'numpy', 'aws', 'git', 'python', 'docker', 'linux', 'sklearn', 'machine learning', 'kubernetes', 'deep learning', 'azure', 'matplotlib']</t>
  </si>
  <si>
    <t>â‚¬104,727</t>
  </si>
  <si>
    <t>company_965</t>
  </si>
  <si>
    <t>â‚¬87,643</t>
  </si>
  <si>
    <t>â‚¬178,100 - â‚¬205,500</t>
  </si>
  <si>
    <t>company_966</t>
  </si>
  <si>
    <t>California, United States, Colorado, United States, Florida, United States, Georgia, United States, Illinois, United States, Massachusetts, United States, Nevada, United States, New Jersey, United States, New York, United States, North Carolina, United States, Oregon, United States, Pennsylvania, United States, South Carolina, United States, Texas, United States, Virginia, United States, Washington, United States . Fully Remote</t>
  </si>
  <si>
    <t>â‚¬173,535</t>
  </si>
  <si>
    <t>company_967</t>
  </si>
  <si>
    <t>Greater Bengaluru Area . Hybrid</t>
  </si>
  <si>
    <t>â‚¬2,739,979</t>
  </si>
  <si>
    <t>['spark', 'aws', 'r', 'python', 'sql', 'machine learning', 'gcp', 'hadoop', 'azure']</t>
  </si>
  <si>
    <t>company_202</t>
  </si>
  <si>
    <t>â‚¬18.30B</t>
  </si>
  <si>
    <t>â‚¬34,805</t>
  </si>
  <si>
    <t>['numpy', 'spark', 'aws', 'python', 'neural network', 'database', 'machine learning', 'tensorflow']</t>
  </si>
  <si>
    <t>company_969</t>
  </si>
  <si>
    <t>San Jose, California, United States . Fully Remote</t>
  </si>
  <si>
    <t>Purchase, NY, US</t>
  </si>
  <si>
    <t>â‚¬155,272 - â‚¬182,672</t>
  </si>
  <si>
    <t>â‚¬24.63B</t>
  </si>
  <si>
    <t>â‚¬59,680</t>
  </si>
  <si>
    <t>['aws', 'machine learning', 'linux', 'python']</t>
  </si>
  <si>
    <t>â‚¬108,442 - â‚¬184,349</t>
  </si>
  <si>
    <t>['r', 'python', 'sql', 'machine learning', 'database', 'azure']</t>
  </si>
  <si>
    <t>â‚¬135,178</t>
  </si>
  <si>
    <t>['aws', 'python', 'machine learning', 'azure', 'deep learning']</t>
  </si>
  <si>
    <t>â‚¬14.56B</t>
  </si>
  <si>
    <t>â‚¬100,472</t>
  </si>
  <si>
    <t>Brazil . Fully Remote</t>
  </si>
  <si>
    <t>company_971</t>
  </si>
  <si>
    <t>â‚¬83,973</t>
  </si>
  <si>
    <t>Boston, MA . On-site</t>
  </si>
  <si>
    <t>â‚¬160,750 - â‚¬170,797</t>
  </si>
  <si>
    <t>â‚¬14.30B</t>
  </si>
  <si>
    <t>â‚¬306,626</t>
  </si>
  <si>
    <t>company_974</t>
  </si>
  <si>
    <t>â‚¬45,064 - â‚¬105,142</t>
  </si>
  <si>
    <t>company_975</t>
  </si>
  <si>
    <t>San Francisco, California, United States . Hybrid</t>
  </si>
  <si>
    <t>Miramar, FL, US</t>
  </si>
  <si>
    <t>â‚¬173,539 - â‚¬210,072</t>
  </si>
  <si>
    <t>â‚¬79,192 - â‚¬138,558</t>
  </si>
  <si>
    <t>['pandas', 'numpy', 'pytorch', 'spark', 'aws', 'amazon', 'r', 'python', 'scikit-learn', 'scipy', 'linux', 'java', 'machine learning', 'keras', 'deep learning', 'matplotlib', 'tensorflow']</t>
  </si>
  <si>
    <t>company_979</t>
  </si>
  <si>
    <t>Pune, MH, IN</t>
  </si>
  <si>
    <t>â‚¬23,903</t>
  </si>
  <si>
    <t>['spark', 'aws', 'r', 'python', 'sql', 'machine learning', 'database', 'hadoop', 'azure']</t>
  </si>
  <si>
    <t>â‚¬126,250 - â‚¬189,589</t>
  </si>
  <si>
    <t>Bentonville, AR . Hybrid</t>
  </si>
  <si>
    <t>â‚¬82,200 - â‚¬164,400</t>
  </si>
  <si>
    <t>company_980</t>
  </si>
  <si>
    <t>â‚¬66.94B</t>
  </si>
  <si>
    <t>â‚¬31,966 - â‚¬58,197</t>
  </si>
  <si>
    <t>['spark', 'r', 'python', 'scala', 'java', 'sql', 'hadoop', 'machine learning']</t>
  </si>
  <si>
    <t>company_983</t>
  </si>
  <si>
    <t>Annapolis Junction, MD . Fort Meade, MD . Hybrid</t>
  </si>
  <si>
    <t>â‚¬70,878 - â‚¬160,749</t>
  </si>
  <si>
    <t>['linux', 'machine learning', 'r', 'python']</t>
  </si>
  <si>
    <t>Hyderabad, Telangana, India . Chennai, Tamil Nadu, India . Hybrid</t>
  </si>
  <si>
    <t>â‚¬142.28B</t>
  </si>
  <si>
    <t>â‚¬22,839</t>
  </si>
  <si>
    <t>['aws', 'r', 'python', 'sql', 'gcp', 'machine learning', 'tableau']</t>
  </si>
  <si>
    <t>â‚¬99,741 - â‚¬189,795</t>
  </si>
  <si>
    <t>Santo Domingo, Dominican Republic . Fully Remote</t>
  </si>
  <si>
    <t>â‚¬25,216</t>
  </si>
  <si>
    <t>company_985</t>
  </si>
  <si>
    <t>â‚¬28,045</t>
  </si>
  <si>
    <t>['python', 'docker', 'kubernetes', 'machine learning', 'azure', 'deep learning']</t>
  </si>
  <si>
    <t>India, Hyderabad . Fully Remote</t>
  </si>
  <si>
    <t>â‚¬39,023</t>
  </si>
  <si>
    <t>â‚¬29,801 - â‚¬32,905</t>
  </si>
  <si>
    <t>['python', 'machine learning', 'gcp', 'azure', 'deep learning', 'tensorflow']</t>
  </si>
  <si>
    <t>â‚¬94.69B</t>
  </si>
  <si>
    <t>â‚¬145,221</t>
  </si>
  <si>
    <t>company_338</t>
  </si>
  <si>
    <t>â‚¬99.86B</t>
  </si>
  <si>
    <t>â‚¬149,787</t>
  </si>
  <si>
    <t>['pytorch', 'r', 'python', 'machine learning', 'tensorflow']</t>
  </si>
  <si>
    <t>â‚¬159,293 - â‚¬211,170</t>
  </si>
  <si>
    <t>['spark', 'sql', 'azure', 'python']</t>
  </si>
  <si>
    <t>â‚¬11.68B</t>
  </si>
  <si>
    <t>â‚¬175,364 - â‚¬219,204</t>
  </si>
  <si>
    <t>Mountain View, CA . San Bruno, CA</t>
  </si>
  <si>
    <t>â‚¬1.14T</t>
  </si>
  <si>
    <t>â‚¬151,616 - â‚¬222,855</t>
  </si>
  <si>
    <t>â‚¬142,483 - â‚¬284,961</t>
  </si>
  <si>
    <t>['pytorch', 'spark', 'r', 'python', 'scala', 'machine learning', 'azure', 'tensorflow']</t>
  </si>
  <si>
    <t>company_849</t>
  </si>
  <si>
    <t>Whitehouse Station, NJ . Philadelphia, PA . Jersey City, NJ . Philadelphia, Pennsylvania, Amerika Serikat . Whitehouse Station, New Jersey, Amerika Serikat</t>
  </si>
  <si>
    <t>Readington Township, NJ, US</t>
  </si>
  <si>
    <t>â‚¬96,818 - â‚¬165,318</t>
  </si>
  <si>
    <t>['database', 'sql', 'machine learning', 'python']</t>
  </si>
  <si>
    <t>company_055</t>
  </si>
  <si>
    <t>Cary, NC</t>
  </si>
  <si>
    <t>ZÃ¼rich, ZH, CH</t>
  </si>
  <si>
    <t>â‚¬55.34B</t>
  </si>
  <si>
    <t>â‚¬37,995 - â‚¬64,591</t>
  </si>
  <si>
    <t>â‚¬160,748 - â‚¬170,795</t>
  </si>
  <si>
    <t>â‚¬19,780</t>
  </si>
  <si>
    <t>â‚¬153.05B</t>
  </si>
  <si>
    <t>â‚¬10,524 - â‚¬26,185</t>
  </si>
  <si>
    <t>â‚¬98,640 - â‚¬123,300</t>
  </si>
  <si>
    <t>Plano, TX</t>
  </si>
  <si>
    <t>â‚¬94.39B</t>
  </si>
  <si>
    <t>â‚¬168,969</t>
  </si>
  <si>
    <t>['spark', 'r', 'python', 'sql', 'tableau']</t>
  </si>
  <si>
    <t>â‚¬1.29T</t>
  </si>
  <si>
    <t>â‚¬128,780 - â‚¬184,493</t>
  </si>
  <si>
    <t>â‚¬251,171</t>
  </si>
  <si>
    <t>Lima, Peru</t>
  </si>
  <si>
    <t>â‚¬7,679</t>
  </si>
  <si>
    <t>['pandas', 'numpy', 'python', 'sklearn', 'machine learning', 'matplotlib']</t>
  </si>
  <si>
    <t>East Hanover, NJ</t>
  </si>
  <si>
    <t>â‚¬160.95B</t>
  </si>
  <si>
    <t>â‚¬104,122 - â‚¬192,715</t>
  </si>
  <si>
    <t>['gcp', 'database']</t>
  </si>
  <si>
    <t>â‚¬94.64B</t>
  </si>
  <si>
    <t>â‚¬173,539</t>
  </si>
  <si>
    <t>â‚¬150,503 - â‚¬287,666</t>
  </si>
  <si>
    <t>Albany, NY</t>
  </si>
  <si>
    <t>â‚¬121.22B</t>
  </si>
  <si>
    <t>â‚¬131,709 - â‚¬263,411</t>
  </si>
  <si>
    <t>['aws', 'python', 'sql', 'machine learning', 'gcp', 'azure']</t>
  </si>
  <si>
    <t>â‚¬115,177 - â‚¬208,199</t>
  </si>
  <si>
    <t>['pandas', 'numpy', 'r', 'python', 'sql', 'tableau']</t>
  </si>
  <si>
    <t>company_872</t>
  </si>
  <si>
    <t>Boise, ID</t>
  </si>
  <si>
    <t>â‚¬18.58B</t>
  </si>
  <si>
    <t>â‚¬100,474</t>
  </si>
  <si>
    <t>['pandas', 'numpy', 'pytorch', 'spark', 'r', 'python', 'scikit-learn', 'machine learning', 'deep learning', 'tensorflow']</t>
  </si>
  <si>
    <t>â‚¬24,200</t>
  </si>
  <si>
    <t>Dublin, County Dublin, Ireland . Hybrid</t>
  </si>
  <si>
    <t>â‚¬67,973 - â‚¬93,598</t>
  </si>
  <si>
    <t>['git', 'r', 'python', 'hadoop', 'deep learning', 'keras', 'azure', 'tensorflow']</t>
  </si>
  <si>
    <t>â‚¬1.44T</t>
  </si>
  <si>
    <t>â‚¬207,333 - â‚¬292,272</t>
  </si>
  <si>
    <t>Gurugram, Haryana, India . Madurai, Tamil Nadu, India . Jaipur, Rajasthan, India . Chandigarh, India . Mumbai, Maharashtra, India + 34 More</t>
  </si>
  <si>
    <t>â‚¬24,358</t>
  </si>
  <si>
    <t>['scikit-learn', 'python', 'airflow', 'sql', 'machine learning']</t>
  </si>
  <si>
    <t>Fort Meade, MD</t>
  </si>
  <si>
    <t>â‚¬133,347 - â‚¬213,720</t>
  </si>
  <si>
    <t>â‚¬19,777</t>
  </si>
  <si>
    <t>['pytorch', 'aws', 'python', 'docker', 'gcp', 'kubernetes', 'azure', 'tensorflow']</t>
  </si>
  <si>
    <t>â‚¬8.20B</t>
  </si>
  <si>
    <t>â‚¬203,472 - â‚¬304,988</t>
  </si>
  <si>
    <t>Redmond, WA . Hybrid</t>
  </si>
  <si>
    <t>â‚¬1.98T</t>
  </si>
  <si>
    <t>â‚¬136,788</t>
  </si>
  <si>
    <t>['sql', 'azure', 'machine learning', 'python']</t>
  </si>
  <si>
    <t>Brooklyn Park, MN . Hybrid</t>
  </si>
  <si>
    <t>â‚¬67.04B</t>
  </si>
  <si>
    <t>â‚¬86,770 - â‚¬156,183</t>
  </si>
  <si>
    <t>Alpharetta, GA . Hybrid</t>
  </si>
  <si>
    <t>â‚¬71.18B</t>
  </si>
  <si>
    <t>â‚¬85,855 - â‚¬150,244</t>
  </si>
  <si>
    <t>['pytorch', 'spark', 'aws', 'r', 'python', 'scala', 'java', 'sql', 'machine learning', 'gcp', 'deep learning', 'azure', 'tensorflow', 'tableau']</t>
  </si>
  <si>
    <t>â‚¬119.18B</t>
  </si>
  <si>
    <t>â‚¬33,043 - â‚¬52,693</t>
  </si>
  <si>
    <t>College Park, MD</t>
  </si>
  <si>
    <t>â‚¬73,068 - â‚¬116,908</t>
  </si>
  <si>
    <t>['pytorch', 'python', 'java', 'keras', 'machine learning', 'tensorflow']</t>
  </si>
  <si>
    <t>â‚¬158,013 - â‚¬180,298</t>
  </si>
  <si>
    <t>['pytorch', 'aws', 'database', 'machine learning', 'tensorflow']</t>
  </si>
  <si>
    <t>Mountain View, California, USA . Hybrid</t>
  </si>
  <si>
    <t>â‚¬236,556</t>
  </si>
  <si>
    <t>Tallinn, Harjumaa, Estonia</t>
  </si>
  <si>
    <t>â‚¬61,775</t>
  </si>
  <si>
    <t>â‚¬67.09B</t>
  </si>
  <si>
    <t>â‚¬31,971 - â‚¬58,202</t>
  </si>
  <si>
    <t>['pytorch', 'python', 'docker', 'sql', 'machine learning', 'kubernetes', 'hadoop', 'deep learning', 'tensorflow']</t>
  </si>
  <si>
    <t>â‚¬62.74B</t>
  </si>
  <si>
    <t>â‚¬109,604 - â‚¬146,136</t>
  </si>
  <si>
    <t>Fort Belvoir, VA . Reston, VA . Hybrid</t>
  </si>
  <si>
    <t>â‚¬90,421 - â‚¬205,500</t>
  </si>
  <si>
    <t>San Francisco, CA, US . Seattle, WA, US . Palo Alto, CA, US . Hybrid</t>
  </si>
  <si>
    <t>19 hours ago</t>
  </si>
  <si>
    <t>â‚¬14.25B</t>
  </si>
  <si>
    <t>â‚¬36.03B</t>
  </si>
  <si>
    <t>â‚¬262,862 - â‚¬300,034</t>
  </si>
  <si>
    <t>['aws', 'r', 'python', 'scala', 'machine learning', 'database', 'deep learning']</t>
  </si>
  <si>
    <t>San Jose, CA</t>
  </si>
  <si>
    <t>â‚¬132,526 - â‚¬151,250</t>
  </si>
  <si>
    <t>['pytorch', 'aws', 'r', 'python', 'scala', 'sql', 'database', 'machine learning']</t>
  </si>
  <si>
    <t>â‚¬71.03B</t>
  </si>
  <si>
    <t>â‚¬85,862 - â‚¬150,251</t>
  </si>
  <si>
    <t>Sunnyvale, CA</t>
  </si>
  <si>
    <t>â‚¬106,860 - â‚¬213,719</t>
  </si>
  <si>
    <t>['pytorch', 'spark', 'r', 'python', 'scala', 'machine learning', 'tensorflow']</t>
  </si>
  <si>
    <t>â‚¬71.13B</t>
  </si>
  <si>
    <t>â‚¬9,582</t>
  </si>
  <si>
    <t>Hartford, CT . Chicago, IL . Charlotte, NC . Columbus, OH . Hybrid</t>
  </si>
  <si>
    <t>â‚¬21.60B</t>
  </si>
  <si>
    <t>â‚¬100,028 - â‚¬150,042</t>
  </si>
  <si>
    <t>â‚¬4.72B</t>
  </si>
  <si>
    <t>â‚¬98,648 - â‚¬123,308</t>
  </si>
  <si>
    <t>â‚¬164,039 - â‚¬246,056</t>
  </si>
  <si>
    <t>North Chicago, IL</t>
  </si>
  <si>
    <t>â‚¬245.34B</t>
  </si>
  <si>
    <t>â‚¬137,007</t>
  </si>
  <si>
    <t>San Juan, Puerto Rico . Fully Remote</t>
  </si>
  <si>
    <t>Overland Park, KS . Bellevue, WA . Frisco, TX</t>
  </si>
  <si>
    <t>â‚¬116,363 - â‚¬209,887</t>
  </si>
  <si>
    <t>['aws', 'r', 'python', 'sql', 'machine learning', 'deep learning', 'azure']</t>
  </si>
  <si>
    <t>â‚¬94.49B</t>
  </si>
  <si>
    <t>â‚¬168,968</t>
  </si>
  <si>
    <t>â‚¬119.33B</t>
  </si>
  <si>
    <t>â‚¬27,279 - â‚¬52,700</t>
  </si>
  <si>
    <t>â‚¬61,778</t>
  </si>
  <si>
    <t>['pandas', 'numpy', 'pytorch', 'spark', 'aws', 'scikit-learn', 'python', 'docker', 'airflow', 'machine learning', 'deep learning']</t>
  </si>
  <si>
    <t>â‚¬94.54B</t>
  </si>
  <si>
    <t>â‚¬168,967</t>
  </si>
  <si>
    <t>â‚¬36,345</t>
  </si>
  <si>
    <t>â‚¬127,871 - â‚¬166,230</t>
  </si>
  <si>
    <t>Mumbai, Maharashtra, India</t>
  </si>
  <si>
    <t>â‚¬350.32B</t>
  </si>
  <si>
    <t>â‚¬33,751</t>
  </si>
  <si>
    <t>['spark', 'sql', 'machine learning', 'python']</t>
  </si>
  <si>
    <t>company_174</t>
  </si>
  <si>
    <t>â‚¬49,109</t>
  </si>
  <si>
    <t>Mumbai Metropolitan Region . Fully Remote</t>
  </si>
  <si>
    <t>â‚¬25.31B</t>
  </si>
  <si>
    <t>â‚¬4,055 - â‚¬10,055</t>
  </si>
  <si>
    <t>['pandas', 'numpy', 'pytorch', 'scipy', 'opencv', 'hadoop', 'machine learning', 'keras', 'deep learning', 'tensorflow']</t>
  </si>
  <si>
    <t>['amazon', 'spark', 'aws', 'r', 'python', 'scala', 'sql', 'machine learning', 'gcp', 'hadoop', 'azure']</t>
  </si>
  <si>
    <t>Jersey City, NJ . Whitehouse Station, NJ . Simsbury, CT . Philadelphia, PA</t>
  </si>
  <si>
    <t>â‚¬79,463 - â‚¬135,176</t>
  </si>
  <si>
    <t>['pandas', 'numpy', 'pytorch', 'spark', 'scikit-learn', 'python', 'linux', 'airflow', 'sql', 'machine learning', 'database', 'azure', 'tensorflow']</t>
  </si>
  <si>
    <t>â‚¬163,490 - â‚¬170,340</t>
  </si>
  <si>
    <t>â‚¬230.37B</t>
  </si>
  <si>
    <t>â‚¬231,078 - â‚¬286,791</t>
  </si>
  <si>
    <t>â‚¬11.75B</t>
  </si>
  <si>
    <t>â‚¬204,593 - â‚¬281,312</t>
  </si>
  <si>
    <t>â‚¬99,557</t>
  </si>
  <si>
    <t>['pytorch', 'aws', 'git', 'python', 'docker', 'sql', 'machine learning', 'gcp', 'deep learning', 'keras', 'azure', 'tensorflow', 'tableau']</t>
  </si>
  <si>
    <t>â‚¬262,864 - â‚¬300,036</t>
  </si>
  <si>
    <t>San Jose, CA . Austin, TX</t>
  </si>
  <si>
    <t>â‚¬144.77B</t>
  </si>
  <si>
    <t>â‚¬117,457 - â‚¬213,904</t>
  </si>
  <si>
    <t>â‚¬11.90B</t>
  </si>
  <si>
    <t>â‚¬204,590 - â‚¬281,309</t>
  </si>
  <si>
    <t>â‚¬36.23B</t>
  </si>
  <si>
    <t>â‚¬262,861 - â‚¬300,033</t>
  </si>
  <si>
    <t>South San Francisco, CA . New York, NY</t>
  </si>
  <si>
    <t>â‚¬177,193</t>
  </si>
  <si>
    <t>['pytorch', 'r', 'python', 'scala', 'java', 'machine learning', 'deep learning', 'tensorflow']</t>
  </si>
  <si>
    <t>â‚¬135,174 - â‚¬168,967</t>
  </si>
  <si>
    <t>Bogota, D.C., Capital District, Colombia</t>
  </si>
  <si>
    <t>â‚¬7,680</t>
  </si>
  <si>
    <t>San Francisco, CA . Atlanta, GA . Portland, OR . Seattle, WA . Pittsburgh, PA + 2 More</t>
  </si>
  <si>
    <t>â‚¬14.61B</t>
  </si>
  <si>
    <t>â‚¬118,739</t>
  </si>
  <si>
    <t>â‚¬132,439 - â‚¬186,325</t>
  </si>
  <si>
    <t>â‚¬118,736 - â‚¬237,469</t>
  </si>
  <si>
    <t>['pytorch', 'spark', 'r', 'python', 'scala', 'java', 'sql', 'machine learning', 'deep learning', 'keras', 'azure', 'tensorflow']</t>
  </si>
  <si>
    <t>['aws', 'r', 'python', 'airflow', 'sql', 'machine learning', 'azure', 'tableau']</t>
  </si>
  <si>
    <t>â‚¬146,136 - â‚¬159,836</t>
  </si>
  <si>
    <t>â‚¬109,602 - â‚¬168,968</t>
  </si>
  <si>
    <t>['r', 'python']</t>
  </si>
  <si>
    <t>â‚¬55.29B</t>
  </si>
  <si>
    <t>â‚¬85,616</t>
  </si>
  <si>
    <t>['git', 'python', 'java', 'sql', 'machine learning']</t>
  </si>
  <si>
    <t>Bentonville, AR</t>
  </si>
  <si>
    <t>â‚¬100,468 - â‚¬200,934</t>
  </si>
  <si>
    <t>['spark', 'r', 'python', 'scala', 'sql', 'machine learning', 'tensorflow']</t>
  </si>
  <si>
    <t>Arlington, VA . Hybrid</t>
  </si>
  <si>
    <t>â‚¬70,880 - â‚¬160,751</t>
  </si>
  <si>
    <t>Kochi, Kerala, India</t>
  </si>
  <si>
    <t>â‚¬153.25B</t>
  </si>
  <si>
    <t>â‚¬12,728 - â‚¬26,188</t>
  </si>
  <si>
    <t>['aws', 'r', 'python', 'scala', 'java', 'sql', 'machine learning', 'hadoop', 'azure', 'tableau']</t>
  </si>
  <si>
    <t>â‚¬121.47B</t>
  </si>
  <si>
    <t>â‚¬101,605 - â‚¬203,204</t>
  </si>
  <si>
    <t>['pytorch', 'aws', 'python', 'sql', 'machine learning', 'gcp', 'deep learning', 'azure']</t>
  </si>
  <si>
    <t>â‚¬9,587</t>
  </si>
  <si>
    <t>â‚¬70,883 - â‚¬160,754</t>
  </si>
  <si>
    <t>['machine learning', 'tableau', 'python']</t>
  </si>
  <si>
    <t>Sevilla La Nueva, Community of Madrid, Spain . Hybrid</t>
  </si>
  <si>
    <t>â‚¬25.36B</t>
  </si>
  <si>
    <t>â‚¬32,155</t>
  </si>
  <si>
    <t>['pytorch', 'aws', 'r', 'python', 'docker', 'opencv', 'machine learning', 'gcp', 'kubernetes', 'deep learning', 'azure', 'tensorflow']</t>
  </si>
  <si>
    <t>Chantilly, VA . Hybrid</t>
  </si>
  <si>
    <t>â‚¬90,426 - â‚¬205,505</t>
  </si>
  <si>
    <t>['r', 'python', 'java', 'sql', 'database', 'tableau']</t>
  </si>
  <si>
    <t>Riverside, CA . On-site</t>
  </si>
  <si>
    <t>â‚¬82,476</t>
  </si>
  <si>
    <t>['pytorch', 'aws', 'scikit-learn', 'python', 'machine learning', 'azure', 'tensorflow']</t>
  </si>
  <si>
    <t>â‚¬137,005</t>
  </si>
  <si>
    <t>â‚¬230.32B</t>
  </si>
  <si>
    <t>â‚¬158,014 - â‚¬221,034</t>
  </si>
  <si>
    <t>â‚¬102,293 - â‚¬163,486</t>
  </si>
  <si>
    <t>â‚¬31,210 - â‚¬58,197</t>
  </si>
  <si>
    <t>['spark', 'machine learning', 'git', 'python']</t>
  </si>
  <si>
    <t>â‚¬29,799 - â‚¬32,903</t>
  </si>
  <si>
    <t>['git', 'r', 'python', 'airflow', 'sql', 'machine learning']</t>
  </si>
  <si>
    <t>â‚¬132,433 - â‚¬186,319</t>
  </si>
  <si>
    <t>â‚¬182,672</t>
  </si>
  <si>
    <t>Noida, Uttar Pradesh, India . Ahmedabad, Gujarat, India . Trivandrum, Kerala, India . Bengaluru, Karnataka, India . Hyderabad, Telangana, India + 2 More . Hybrid</t>
  </si>
  <si>
    <t>â‚¬188.21B</t>
  </si>
  <si>
    <t>â‚¬41,974</t>
  </si>
  <si>
    <t>['pytorch', 'spark', 'aws', 'scikit-learn', 'python', 'docker', 'deep learning', 'sql', 'machine learning', 'gcp', 'kubernetes', 'hadoop', 'azure', 'tensorflow']</t>
  </si>
  <si>
    <t>San Francisco, CA . Seattle, WA . Atlanta, GA</t>
  </si>
  <si>
    <t>â‚¬183,405 - â‚¬252,178</t>
  </si>
  <si>
    <t>['spark', 'r', 'python', 'airflow', 'hadoop']</t>
  </si>
  <si>
    <t>â‚¬81.86B</t>
  </si>
  <si>
    <t>â‚¬32,875 - â‚¬47,285</t>
  </si>
  <si>
    <t>â‚¬155,610 - â‚¬207,329</t>
  </si>
  <si>
    <t>company_931</t>
  </si>
  <si>
    <t>â‚¬78,110</t>
  </si>
  <si>
    <t>['r', 'python', 'sql', 'hadoop', 'machine learning', 'tableau']</t>
  </si>
  <si>
    <t>â‚¬114,169</t>
  </si>
  <si>
    <t>['amazon', 'aws', 'python']</t>
  </si>
  <si>
    <t>â‚¬106,410 - â‚¬164,863</t>
  </si>
  <si>
    <t>['spark', 'hadoop', 'sql', 'python']</t>
  </si>
  <si>
    <t>â‚¬833.06B</t>
  </si>
  <si>
    <t>â‚¬117,828 - â‚¬219,207</t>
  </si>
  <si>
    <t>company_911</t>
  </si>
  <si>
    <t>Jacksonville, FL</t>
  </si>
  <si>
    <t>â‚¬38,945</t>
  </si>
  <si>
    <t>['pytorch', 'spark', 'python', 'sql', 'machine learning']</t>
  </si>
  <si>
    <t>â‚¬9,586</t>
  </si>
  <si>
    <t>company_042</t>
  </si>
  <si>
    <t>Spain</t>
  </si>
  <si>
    <t>â‚¬54,805</t>
  </si>
  <si>
    <t>['pandas', 'python', 'docker', 'airflow', 'sql', 'gcp', 'machine learning']</t>
  </si>
  <si>
    <t>â‚¬121.42B</t>
  </si>
  <si>
    <t>â‚¬131,704 - â‚¬263,406</t>
  </si>
  <si>
    <t>company_149</t>
  </si>
  <si>
    <t>Mason, OH</t>
  </si>
  <si>
    <t>â‚¬305.27B</t>
  </si>
  <si>
    <t>â‚¬77,642 - â‚¬105,041</t>
  </si>
  <si>
    <t>['aws', 'machine learning', 'r', 'azure']</t>
  </si>
  <si>
    <t>Overland Park, KS . Bellevue, WA</t>
  </si>
  <si>
    <t>â‚¬116,364 - â‚¬209,888</t>
  </si>
  <si>
    <t>['spark', 'r', 'python', 'sql', 'machine learning', 'database', 'hadoop', 'deep learning']</t>
  </si>
  <si>
    <t>Homestead, FL</t>
  </si>
  <si>
    <t>â‚¬63,118 - â‚¬129,242</t>
  </si>
  <si>
    <t>['pandas', 'numpy', 'pytorch', 'spark', 'scikit-learn', 'python', 'scala', 'java', 'sql', 'machine learning', 'keras', 'deep learning', 'tensorflow']</t>
  </si>
  <si>
    <t>â‚¬95,585 - â‚¬172,784</t>
  </si>
  <si>
    <t>['aws', 'git', 'python', 'sql', 'database', 'machine learning', 'matplotlib', 'tensorflow', 'tableau']</t>
  </si>
  <si>
    <t>Raleigh, NC . Fully Remote</t>
  </si>
  <si>
    <t>â‚¬99,554</t>
  </si>
  <si>
    <t>['spark', 'python', 'machine learning', 'hadoop', 'deep learning']</t>
  </si>
  <si>
    <t>Mexico City Metropolitan Area</t>
  </si>
  <si>
    <t>â‚¬7,678</t>
  </si>
  <si>
    <t>Bethesda, MD . On-site</t>
  </si>
  <si>
    <t>â‚¬77,773 - â‚¬140,587</t>
  </si>
  <si>
    <t>['amazon', 'aws', 'git', 'r', 'python', 'docker', 'sql', 'kubernetes', 'hadoop']</t>
  </si>
  <si>
    <t>â‚¬115,088 - â‚¬143,858</t>
  </si>
  <si>
    <t>['aws', 'git', 'r', 'python', 'sql', 'machine learning']</t>
  </si>
  <si>
    <t>â‚¬161,759 - â‚¬271,723</t>
  </si>
  <si>
    <t>â‚¬152.95B</t>
  </si>
  <si>
    <t>â‚¬12,730 - â‚¬26,190</t>
  </si>
  <si>
    <t>['r', 'python', 'java', 'sql', 'database', 'machine learning']</t>
  </si>
  <si>
    <t>â‚¬168,968 - â‚¬210,068</t>
  </si>
  <si>
    <t>â‚¬153.20B</t>
  </si>
  <si>
    <t>â‚¬10,525 - â‚¬26,186</t>
  </si>
  <si>
    <t>â‚¬11.58B</t>
  </si>
  <si>
    <t>â‚¬138,831 - â‚¬173,538</t>
  </si>
  <si>
    <t>company_375</t>
  </si>
  <si>
    <t>â‚¬104,657 - â‚¬128,182</t>
  </si>
  <si>
    <t>['spark', 'aws', 'git', 'python', 'sql', 'gcp', 'deep learning', 'azure', 'tensorflow']</t>
  </si>
  <si>
    <t>â‚¬28,046</t>
  </si>
  <si>
    <t>â‚¬58,366 - â‚¬156,348</t>
  </si>
  <si>
    <t>â‚¬132,436 - â‚¬186,322</t>
  </si>
  <si>
    <t>â‚¬155,267 - â‚¬182,667</t>
  </si>
  <si>
    <t>â‚¬130,608 - â‚¬261,214</t>
  </si>
  <si>
    <t>Noida, Uttar Pradesh, India</t>
  </si>
  <si>
    <t>â‚¬29,800 - â‚¬32,904</t>
  </si>
  <si>
    <t>['pytorch', 'aws', 'git', 'r', 'python', 'docker', 'scikit-learn', 'deep learning', 'machine learning', 'gcp', 'kubernetes', 'keras', 'azure', 'tensorflow']</t>
  </si>
  <si>
    <t>â‚¬350.02B</t>
  </si>
  <si>
    <t>â‚¬27,555 - â‚¬43,659</t>
  </si>
  <si>
    <t>['sql', 'aws', 'tableau']</t>
  </si>
  <si>
    <t>â‚¬173,536</t>
  </si>
  <si>
    <t>â‚¬99,006</t>
  </si>
  <si>
    <t>company_992</t>
  </si>
  <si>
    <t>Sydney, NSW, AU</t>
  </si>
  <si>
    <t>â‚¬28.17B</t>
  </si>
  <si>
    <t>â‚¬211,535 - â‚¬282,044</t>
  </si>
  <si>
    <t>company_860</t>
  </si>
  <si>
    <t>Mountain View, California . On-site</t>
  </si>
  <si>
    <t>18 hours ago</t>
  </si>
  <si>
    <t>â‚¬35.16B</t>
  </si>
  <si>
    <t>â‚¬209,476</t>
  </si>
  <si>
    <t>Valladolid, Castilla and Leon, Spain . Sevilla La Nueva, Community of Madrid, Spain . Hybrid</t>
  </si>
  <si>
    <t>â‚¬32,159</t>
  </si>
  <si>
    <t>New York, NY . On-site</t>
  </si>
  <si>
    <t>â‚¬350.27B</t>
  </si>
  <si>
    <t>â‚¬200,933</t>
  </si>
  <si>
    <t>['pandas', 'numpy', 'pytorch', 'scikit-learn', 'machine learning', 'deep learning', 'tensorflow']</t>
  </si>
  <si>
    <t>â‚¬168,966</t>
  </si>
  <si>
    <t>['pandas', 'numpy', 'git', 'scikit-learn', 'python', 'linux', 'sql', 'machine learning', 'tableau']</t>
  </si>
  <si>
    <t>Greater Hyderabad Area</t>
  </si>
  <si>
    <t>â‚¬2,283,322</t>
  </si>
  <si>
    <t>['azure', 'python']</t>
  </si>
  <si>
    <t>data engineer</t>
  </si>
  <si>
    <t>North Reading, MA</t>
  </si>
  <si>
    <t>â‚¬832.91B</t>
  </si>
  <si>
    <t>â‚¬117,826 - â‚¬219,205</t>
  </si>
  <si>
    <t>['amazon', 'spark', 'python', 'scala', 'sql', 'hadoop', 'machine learning']</t>
  </si>
  <si>
    <t>â‚¬231,077 - â‚¬286,790</t>
  </si>
  <si>
    <t>Belize City, Belize, Belize . Fully Remote</t>
  </si>
  <si>
    <t>â‚¬81.66B</t>
  </si>
  <si>
    <t>â‚¬112,801 - â‚¬194,406</t>
  </si>
  <si>
    <t>Norco, CA . Hybrid</t>
  </si>
  <si>
    <t>â‚¬90,420 - â‚¬205,499</t>
  </si>
  <si>
    <t>â‚¬66.89B</t>
  </si>
  <si>
    <t>North Las Vegas, NV . On-site</t>
  </si>
  <si>
    <t>â‚¬62.99B</t>
  </si>
  <si>
    <t>â‚¬130.79B</t>
  </si>
  <si>
    <t>â‚¬183,400 - â‚¬252,173</t>
  </si>
  <si>
    <t>â‚¬141,567</t>
  </si>
  <si>
    <t>company_993</t>
  </si>
  <si>
    <t>Chennai, TN, IN</t>
  </si>
  <si>
    <t>â‚¬23,243</t>
  </si>
  <si>
    <t>['aws', 'machine learning', 'python']</t>
  </si>
  <si>
    <t>McLean, VA . ë¯¸êµ­ ë²„ì§€ë‹ˆì•„ McLean</t>
  </si>
  <si>
    <t>â‚¬147,509 - â‚¬199,569</t>
  </si>
  <si>
    <t>['python', 'database', 'linux', 'sql', 'kubernetes', 'keras', 'machine learning', 'tensorflow']</t>
  </si>
  <si>
    <t>â‚¬108,695 - â‚¬141,574</t>
  </si>
  <si>
    <t>â‚¬153.15B</t>
  </si>
  <si>
    <t>['azure', 'machine learning', 'python']</t>
  </si>
  <si>
    <t>â‚¬28,127</t>
  </si>
  <si>
    <t>â‚¬67,978 - â‚¬93,603</t>
  </si>
  <si>
    <t>â‚¬230.52B</t>
  </si>
  <si>
    <t>â‚¬132,441 - â‚¬186,327</t>
  </si>
  <si>
    <t>Austin, TX</t>
  </si>
  <si>
    <t>â‚¬230.57B</t>
  </si>
  <si>
    <t>â‚¬132,434 - â‚¬186,320</t>
  </si>
  <si>
    <t>â‚¬109,603 - â‚¬219,202</t>
  </si>
  <si>
    <t>Singapore, Singapore . ã‚·ãƒ³ã‚¬ãƒãƒ¼ãƒ« ã‚·ãƒ³ã‚¬ãƒãƒ¼ãƒ«</t>
  </si>
  <si>
    <t>â‚¬55.44B</t>
  </si>
  <si>
    <t>â‚¬43,549 - â‚¬48,973</t>
  </si>
  <si>
    <t>['java', 'sql', 'git', 'python']</t>
  </si>
  <si>
    <t>Bengaluru, Karnataka, India . Gurugram, Haryana, India . Hyderabad, Telangana, India</t>
  </si>
  <si>
    <t>â‚¬68,388 - â‚¬109,537</t>
  </si>
  <si>
    <t>['amazon', 'spark', 'r', 'python', 'sql', 'machine learning', 'hadoop', 'deep learning']</t>
  </si>
  <si>
    <t>â‚¬833.01B</t>
  </si>
  <si>
    <t>['amazon', 'r', 'python', 'neural network', 'sql', 'machine learning', 'deep learning']</t>
  </si>
  <si>
    <t>â‚¬9,584</t>
  </si>
  <si>
    <t>['deep learning', 'aws', 'machine learning', 'azure']</t>
  </si>
  <si>
    <t>â‚¬104.06B</t>
  </si>
  <si>
    <t>â‚¬19,599</t>
  </si>
  <si>
    <t>['git', 'docker', 'java', 'sql', 'database']</t>
  </si>
  <si>
    <t>â‚¬17.10B</t>
  </si>
  <si>
    <t>â‚¬31,967 - â‚¬58,198</t>
  </si>
  <si>
    <t>['spark', 'python', 'sql', 'machine learning', 'deep learning']</t>
  </si>
  <si>
    <t>â‚¬36.28B</t>
  </si>
  <si>
    <t>â‚¬262,859 - â‚¬300,031</t>
  </si>
  <si>
    <t>Austin, TX . Chicago, IL . Hybrid</t>
  </si>
  <si>
    <t>â‚¬112,804 - â‚¬194,409</t>
  </si>
  <si>
    <t>['sql', 'database']</t>
  </si>
  <si>
    <t>company_489</t>
  </si>
  <si>
    <t>â‚¬91,610 - â‚¬114,535</t>
  </si>
  <si>
    <t>['spark', 'machine learning', 'r', 'python']</t>
  </si>
  <si>
    <t>Columbus, OH . On-site</t>
  </si>
  <si>
    <t>â‚¬155,271</t>
  </si>
  <si>
    <t>20 hours ago</t>
  </si>
  <si>
    <t>â‚¬94,259 - â‚¬172,805</t>
  </si>
  <si>
    <t>Wellesley Hills, MA</t>
  </si>
  <si>
    <t>â‚¬121.27B</t>
  </si>
  <si>
    <t>â‚¬18,195</t>
  </si>
  <si>
    <t>Birmingham, MI</t>
  </si>
  <si>
    <t>â‚¬69,597 - â‚¬86,951</t>
  </si>
  <si>
    <t>['pandas', 'aws', 'scikit-learn', 'python', 'sql', 'machine learning', 'gcp', 'azure']</t>
  </si>
  <si>
    <t>â‚¬63,112 - â‚¬129,236</t>
  </si>
  <si>
    <t>Gurugram, Haryana, India . Hyderabad, Telangana, India</t>
  </si>
  <si>
    <t>â‚¬18,678</t>
  </si>
  <si>
    <t>['pytorch', 'aws', 'git', 'python', 'java', 'gcp', 'azure', 'tensorflow']</t>
  </si>
  <si>
    <t>â‚¬23,240</t>
  </si>
  <si>
    <t>['pytorch', 'aws', 'python', 'docker', 'machine learning', 'gcp', 'deep learning', 'azure', 'tensorflow']</t>
  </si>
  <si>
    <t>Toronto, Ontario, Canada . Markham, Ontario, Canada . Hybrid</t>
  </si>
  <si>
    <t>â‚¬73,455</t>
  </si>
  <si>
    <t>â‚¬115,179 - â‚¬208,201</t>
  </si>
  <si>
    <t>â‚¬76,372</t>
  </si>
  <si>
    <t>â‚¬34.27B</t>
  </si>
  <si>
    <t>â‚¬26,752</t>
  </si>
  <si>
    <t>company_888</t>
  </si>
  <si>
    <t>â‚¬112,341</t>
  </si>
  <si>
    <t>Mountain View, CA . New York, NY . San Bruno, CA</t>
  </si>
  <si>
    <t>â‚¬1.39T</t>
  </si>
  <si>
    <t>â‚¬179,934 - â‚¬265,787</t>
  </si>
  <si>
    <t>â‚¬36.08B</t>
  </si>
  <si>
    <t>â‚¬192,716 - â‚¬219,933</t>
  </si>
  <si>
    <t>['spark', 'aws', 'r', 'python', 'scala', 'database', 'sql', 'machine learning', 'kubernetes', 'deep learning']</t>
  </si>
  <si>
    <t>Fort Meade, MD . Hybrid</t>
  </si>
  <si>
    <t>â‚¬90,424 - â‚¬205,503</t>
  </si>
  <si>
    <t>â‚¬130,611 - â‚¬261,217</t>
  </si>
  <si>
    <t>['pytorch', 'spark', 'r', 'python', 'scala', 'java', 'machine learning', 'deep learning', 'tensorflow']</t>
  </si>
  <si>
    <t>â‚¬17,919</t>
  </si>
  <si>
    <t>['pytorch', 'spark', 'aws', 'python', 'sql', 'machine learning', 'gcp', 'hadoop', 'azure', 'tensorflow']</t>
  </si>
  <si>
    <t>Gurugram, Haryana, India . Bengaluru, Karnataka, India . Hyderabad, Telangana, India . Gurgaon, Haryana, India . Gurgaon, Haryana, Inde + 1 More</t>
  </si>
  <si>
    <t>â‚¬51,263 - â‚¬109,545</t>
  </si>
  <si>
    <t>['pandas', 'numpy', 'spark', 'aws', 'scikit-learn', 'python', 'docker', 'airflow', 'machine learning', 'deep learning']</t>
  </si>
  <si>
    <t>â‚¬23,238</t>
  </si>
  <si>
    <t>Seattle, WA . On-site</t>
  </si>
  <si>
    <t>â‚¬350.07B</t>
  </si>
  <si>
    <t>â‚¬196,372</t>
  </si>
  <si>
    <t>â‚¬65,766</t>
  </si>
  <si>
    <t>['amazon', 'deep learning', 'machine learning', 'python']</t>
  </si>
  <si>
    <t>â‚¬33,047 - â‚¬52,697</t>
  </si>
  <si>
    <t>Irving, TX . Basking Ridge, NJ . Ashburn, VA . Hybrid</t>
  </si>
  <si>
    <t>â‚¬142.18B</t>
  </si>
  <si>
    <t>â‚¬115,081</t>
  </si>
  <si>
    <t>â‚¬10,526 - â‚¬26,187</t>
  </si>
  <si>
    <t>â‚¬127,872 - â‚¬137,005</t>
  </si>
  <si>
    <t>â‚¬158,011 - â‚¬180,296</t>
  </si>
  <si>
    <t>â‚¬4.60B</t>
  </si>
  <si>
    <t>â‚¬164,405</t>
  </si>
  <si>
    <t>Tampa, FL</t>
  </si>
  <si>
    <t>â‚¬77,776 - â‚¬140,590</t>
  </si>
  <si>
    <t>['pytorch', 'aws', 'r', 'python', 'docker', 'scikit-learn', 'sql', 'machine learning', 'gcp', 'kubernetes', 'deep learning', 'azure', 'matplotlib', 'tensorflow', 'tableau']</t>
  </si>
  <si>
    <t>â‚¬66,405 - â‚¬136,274</t>
  </si>
  <si>
    <t>â‚¬27,553 - â‚¬43,657</t>
  </si>
  <si>
    <t>Zurich, Zurich, Switzerland</t>
  </si>
  <si>
    <t>â‚¬148,524 - â‚¬185,955</t>
  </si>
  <si>
    <t>â‚¬246.93B</t>
  </si>
  <si>
    <t>â‚¬159,837</t>
  </si>
  <si>
    <t>['pytorch', 'aws', 'machine learning', 'gcp', 'azure', 'tensorflow']</t>
  </si>
  <si>
    <t>San Salvador, San Salvador, El Salvador . Fully Remote</t>
  </si>
  <si>
    <t>â‚¬25,213</t>
  </si>
  <si>
    <t>â‚¬100,474 - â‚¬146,140</t>
  </si>
  <si>
    <t>â‚¬116,908</t>
  </si>
  <si>
    <t>â‚¬161.15B</t>
  </si>
  <si>
    <t>â‚¬120,837 - â‚¬224,408</t>
  </si>
  <si>
    <t>â‚¬66.99B</t>
  </si>
  <si>
    <t>â‚¬86,769 - â‚¬156,182</t>
  </si>
  <si>
    <t>['python', 'scala', 'sql', 'machine learning', 'hadoop', 'deep learning']</t>
  </si>
  <si>
    <t>Chennai, Tamil Nadu, India . Hybrid</t>
  </si>
  <si>
    <t>â‚¬98,645 - â‚¬197,284</t>
  </si>
  <si>
    <t>MÃ¡laga, Andalusia, Spain</t>
  </si>
  <si>
    <t>['pandas', 'numpy', 'python', 'machine learning', 'azure']</t>
  </si>
  <si>
    <t>company_994</t>
  </si>
  <si>
    <t>Malvern, PA . Hybrid</t>
  </si>
  <si>
    <t>Malvern, PA, US</t>
  </si>
  <si>
    <t>â‚¬115,087 - â‚¬127,874</t>
  </si>
  <si>
    <t>â‚¬350.12B</t>
  </si>
  <si>
    <t>â‚¬164,408</t>
  </si>
  <si>
    <t>company_881</t>
  </si>
  <si>
    <t>8 months ago</t>
  </si>
  <si>
    <t>CN</t>
  </si>
  <si>
    <t>â‚¬128.22B</t>
  </si>
  <si>
    <t>â‚¬132,436 - â‚¬228,335</t>
  </si>
  <si>
    <t>['pytorch', 'python', 'neural network', 'machine learning', 'deep learning', 'tensorflow']</t>
  </si>
  <si>
    <t>â‚¬207,334 - â‚¬292,273</t>
  </si>
  <si>
    <t>Massachusetts, United States . Massachusetts, Amerika Syarikat</t>
  </si>
  <si>
    <t>â‚¬157,012 - â‚¬263,789</t>
  </si>
  <si>
    <t>â‚¬18.63B</t>
  </si>
  <si>
    <t>â‚¬94,080</t>
  </si>
  <si>
    <t>â‚¬10,529 - â‚¬26,190</t>
  </si>
  <si>
    <t>['pytorch', 'aws', 'python', 'docker', 'machine learning', 'azure', 'tensorflow']</t>
  </si>
  <si>
    <t>Hartford, CT . Chicago, IL . Columbus, OH . Charlotte, NC . Columbus, Ohio, United States + 1 More . Hybrid</t>
  </si>
  <si>
    <t>â‚¬21.70B</t>
  </si>
  <si>
    <t>â‚¬101,126 - â‚¬151,688</t>
  </si>
  <si>
    <t>['pandas', 'git', 'python', 'sql', 'matplotlib']</t>
  </si>
  <si>
    <t>â‚¬252,999</t>
  </si>
  <si>
    <t>['scala', 'machine learning', 'python']</t>
  </si>
  <si>
    <t>California, United States</t>
  </si>
  <si>
    <t>â‚¬159,841</t>
  </si>
  <si>
    <t>â‚¬4.47B</t>
  </si>
  <si>
    <t>â‚¬71.33B</t>
  </si>
  <si>
    <t>â‚¬85,860 - â‚¬150,249</t>
  </si>
  <si>
    <t>â‚¬67,039</t>
  </si>
  <si>
    <t>['spark', 'git', 'python', 'sql', 'machine learning', 'hadoop', 'deep learning']</t>
  </si>
  <si>
    <t>Newport Beach, CA</t>
  </si>
  <si>
    <t>â‚¬104.21B</t>
  </si>
  <si>
    <t>â‚¬114,169 - â‚¬127,869</t>
  </si>
  <si>
    <t>Seattle, WA . Santa Clara, CA</t>
  </si>
  <si>
    <t>â‚¬832.76B</t>
  </si>
  <si>
    <t>â‚¬149,803 - â‚¬168,061</t>
  </si>
  <si>
    <t>Irving, TX . Lake Mary, FL . Basking Ridge, NJ . Boston, MA . Hybrid</t>
  </si>
  <si>
    <t>â‚¬73,984</t>
  </si>
  <si>
    <t>['pandas', 'numpy', 'pytorch', 'spark', 'r', 'python', 'java', 'sklearn', 'sql', 'machine learning', 'keras', 'deep learning', 'matplotlib', 'tensorflow', 'tableau']</t>
  </si>
  <si>
    <t>â‚¬32,733</t>
  </si>
  <si>
    <t>â‚¬137,004 - â‚¬155,270</t>
  </si>
  <si>
    <t>â‚¬95,587 - â‚¬172,786</t>
  </si>
  <si>
    <t>â‚¬18,199</t>
  </si>
  <si>
    <t>Noida, Uttar Pradesh, India . Bengaluru, Karnataka, India</t>
  </si>
  <si>
    <t>â‚¬144.67B</t>
  </si>
  <si>
    <t>â‚¬29,932 - â‚¬37,411</t>
  </si>
  <si>
    <t>['pandas', 'numpy', 'pytorch', 'spark', 'aws', 'python', 'scala', 'sql', 'hadoop', 'machine learning', 'keras', 'azure']</t>
  </si>
  <si>
    <t>Greenwood Village, CO . Hybrid</t>
  </si>
  <si>
    <t>â‚¬80,559</t>
  </si>
  <si>
    <t>['pytorch', 'aws', 'python', 'sql', 'machine learning', 'hadoop', 'azure', 'tensorflow']</t>
  </si>
  <si>
    <t>â‚¬189,974</t>
  </si>
  <si>
    <t>Quito, Pichincha, Ecuador . Fully Remote</t>
  </si>
  <si>
    <t>Podgorica, Montenegro . Fully Remote</t>
  </si>
  <si>
    <t>Hickam Village, HI . Hybrid</t>
  </si>
  <si>
    <t>â‚¬90,425 - â‚¬205,504</t>
  </si>
  <si>
    <t>['pandas', 'numpy', 'pytorch', 'spark', 'aws', 'scikit-learn', 'python', 'docker', 'java', 'machine learning', 'gcp', 'kubernetes', 'hadoop', 'azure', 'matplotlib', 'tensorflow']</t>
  </si>
  <si>
    <t>â‚¬19,776</t>
  </si>
  <si>
    <t>['pandas', 'numpy', 'aws', 'r', 'python', 'machine learning', 'gcp', 'azure']</t>
  </si>
  <si>
    <t>â‚¬184,128 - â‚¬240,389</t>
  </si>
  <si>
    <t>â‚¬167,139 - â‚¬247,512</t>
  </si>
  <si>
    <t>â‚¬33,313 - â‚¬42,993</t>
  </si>
  <si>
    <t>['r', 'python', 'sql', 'gcp', 'machine learning']</t>
  </si>
  <si>
    <t>â‚¬104,650 - â‚¬128,175</t>
  </si>
  <si>
    <t>['pytorch', 'python', 'scala', 'machine learning', 'deep learning', 'tensorflow']</t>
  </si>
  <si>
    <t>Charlotte, NC . New York, NY</t>
  </si>
  <si>
    <t>â‚¬276.77B</t>
  </si>
  <si>
    <t>â‚¬132,436 - â‚¬146,136</t>
  </si>
  <si>
    <t>['machine learning', 'matplotlib', 'python']</t>
  </si>
  <si>
    <t>â‚¬66,122 - â‚¬99,997</t>
  </si>
  <si>
    <t>['pandas', 'numpy', 'aws', 'scikit-learn', 'python', 'machine learning', 'azure']</t>
  </si>
  <si>
    <t>Reston, VA . On-site</t>
  </si>
  <si>
    <t>['pytorch', 'aws', 'r', 'python', 'scikit-learn', 'sql', 'machine learning', 'tensorflow', 'tableau']</t>
  </si>
  <si>
    <t>â‚¬135,177 - â‚¬168,970</t>
  </si>
  <si>
    <t>Tondiarpet, Tamil Nadu, India . Bengaluru, Karnataka, India . Hybrid</t>
  </si>
  <si>
    <t>â‚¬81.81B</t>
  </si>
  <si>
    <t>â‚¬24,064 - â‚¬45,170</t>
  </si>
  <si>
    <t>['pytorch', 'scikit-learn', 'python', 'machine learning', 'tensorflow']</t>
  </si>
  <si>
    <t>â‚¬167,893 - â‚¬252,056</t>
  </si>
  <si>
    <t>â‚¬31,213 - â‚¬58,200</t>
  </si>
  <si>
    <t>['spark', 'machine learning', 'python']</t>
  </si>
  <si>
    <t>â‚¬128.02B</t>
  </si>
  <si>
    <t>â‚¬132,436 - â‚¬216,919</t>
  </si>
  <si>
    <t>London, England, United Kingdom . LondÃ½n, Anglie, SpojenÃ© krÃ¡lovstvÃ­ . Hybrid</t>
  </si>
  <si>
    <t>â‚¬73,983</t>
  </si>
  <si>
    <t>['pytorch', 'aws', 'scikit-learn', 'docker', 'deep learning', 'machine learning', 'kubernetes', 'keras', 'azure', 'tensorflow']</t>
  </si>
  <si>
    <t>â‚¬155,274 - â‚¬182,674</t>
  </si>
  <si>
    <t>â‚¬71.23B</t>
  </si>
  <si>
    <t>â‚¬85,861 - â‚¬150,250</t>
  </si>
  <si>
    <t>â‚¬144,680 - â‚¬235,647</t>
  </si>
  <si>
    <t>â‚¬121.17B</t>
  </si>
  <si>
    <t>â‚¬131,703 - â‚¬263,405</t>
  </si>
  <si>
    <t>â‚¬52,506</t>
  </si>
  <si>
    <t>â‚¬23,239</t>
  </si>
  <si>
    <t>['aws', 'scikit-learn', 'python', 'machine learning', 'gcp', 'keras', 'deep learning', 'tensorflow']</t>
  </si>
  <si>
    <t>â‚¬158,829 - â‚¬178,648</t>
  </si>
  <si>
    <t>â‚¬82.45B</t>
  </si>
  <si>
    <t>â‚¬33,111 - â‚¬47,625</t>
  </si>
  <si>
    <t>Herndon, VA . Hybrid</t>
  </si>
  <si>
    <t>â‚¬71,394 - â‚¬161,915</t>
  </si>
  <si>
    <t>McLean, VA . McLean, VirgÃ­nia, Estados Unidos</t>
  </si>
  <si>
    <t>â‚¬36.49B</t>
  </si>
  <si>
    <t>â‚¬159,156 - â‚¬181,602</t>
  </si>
  <si>
    <t>Bentonville, AR . On-site</t>
  </si>
  <si>
    <t>â‚¬354.99B</t>
  </si>
  <si>
    <t>â‚¬82,797 - â‚¬165,590</t>
  </si>
  <si>
    <t>â‚¬154.06B</t>
  </si>
  <si>
    <t>â‚¬20,441</t>
  </si>
  <si>
    <t>Scottsdale, AZ . Chicago, IL . Austin, TX . Scottsdale, Arizona, United States . Hybrid</t>
  </si>
  <si>
    <t>â‚¬82.10B</t>
  </si>
  <si>
    <t>â‚¬113,614 - â‚¬195,810</t>
  </si>
  <si>
    <t>['hadoop', 'sql']</t>
  </si>
  <si>
    <t>â‚¬71,396 - â‚¬161,917</t>
  </si>
  <si>
    <t>â‚¬107,637 - â‚¬215,269</t>
  </si>
  <si>
    <t>['numpy', 'pytorch', 'spark', 'r', 'python', 'scikit-learn', 'scala', 'bash', 'java', 'sql', 'machine learning', 'gcp', 'deep learning', 'matplotlib', 'tensorflow']</t>
  </si>
  <si>
    <t>â‚¬131,555 - â‚¬263,105</t>
  </si>
  <si>
    <t>Boulder, CO</t>
  </si>
  <si>
    <t>â‚¬1.45T</t>
  </si>
  <si>
    <t>â‚¬152,711 - â‚¬224,466</t>
  </si>
  <si>
    <t>Santa Barbara, CA . Bellevue, WA</t>
  </si>
  <si>
    <t>â‚¬839.03B</t>
  </si>
  <si>
    <t>â‚¬160,991</t>
  </si>
  <si>
    <t>['amazon', 'r', 'python', 'sql', 'tableau']</t>
  </si>
  <si>
    <t>Bellevue, WA . New York, United States . Santa Monica, CA</t>
  </si>
  <si>
    <t>â‚¬838.83B</t>
  </si>
  <si>
    <t>â‚¬150,883 - â‚¬178,472</t>
  </si>
  <si>
    <t>â‚¬154.41B</t>
  </si>
  <si>
    <t>â‚¬10,605 - â‚¬26,380</t>
  </si>
  <si>
    <t>â‚¬107,641 - â‚¬215,273</t>
  </si>
  <si>
    <t>â‚¬91,081 - â‚¬206,992</t>
  </si>
  <si>
    <t>Richmond, VA . Hybrid</t>
  </si>
  <si>
    <t>â‚¬36.64B</t>
  </si>
  <si>
    <t>â‚¬145,905 - â‚¬166,511</t>
  </si>
  <si>
    <t>â‚¬140,294 - â‚¬241,349</t>
  </si>
  <si>
    <t>New York, NY . Sunnyvale, CA</t>
  </si>
  <si>
    <t>â‚¬1.20T</t>
  </si>
  <si>
    <t>â‚¬208,832 - â‚¬294,386</t>
  </si>
  <si>
    <t>Plano, TX . Plano, Texas, SpojenÃ© stÃ¡ty . On-site</t>
  </si>
  <si>
    <t>â‚¬352.75B</t>
  </si>
  <si>
    <t>â‚¬137,997</t>
  </si>
  <si>
    <t>['spark', 'aws', 'r', 'python', 'scikit-learn', 'sql', 'machine learning']</t>
  </si>
  <si>
    <t>â‚¬838.78B</t>
  </si>
  <si>
    <t>â‚¬29,758 - â‚¬110,330</t>
  </si>
  <si>
    <t>New York, NY . New York, New York, Statele Unite Ale Americii</t>
  </si>
  <si>
    <t>â‚¬36.34B</t>
  </si>
  <si>
    <t>â‚¬159,150 - â‚¬181,596</t>
  </si>
  <si>
    <t>â‚¬95.37B</t>
  </si>
  <si>
    <t>â‚¬174,789</t>
  </si>
  <si>
    <t>â‚¬25.44B</t>
  </si>
  <si>
    <t>â‚¬4,082 - â‚¬10,125</t>
  </si>
  <si>
    <t>['git', 'r', 'python', 'linux', 'sql', 'tableau']</t>
  </si>
  <si>
    <t>â‚¬154.26B</t>
  </si>
  <si>
    <t>â‚¬129,163 - â‚¬244,062</t>
  </si>
  <si>
    <t>â‚¬232.09B</t>
  </si>
  <si>
    <t>â‚¬189,513 - â‚¬258,507</t>
  </si>
  <si>
    <t>â‚¬352.90B</t>
  </si>
  <si>
    <t>â‚¬116,803</t>
  </si>
  <si>
    <t>['deep learning', 'python']</t>
  </si>
  <si>
    <t>â‚¬101,194 - â‚¬202,387</t>
  </si>
  <si>
    <t>['pytorch', 'spark', 'r', 'python', 'scala', 'opencv', 'machine learning', 'deep learning', 'tensorflow']</t>
  </si>
  <si>
    <t>â‚¬95.17B</t>
  </si>
  <si>
    <t>â‚¬170,195</t>
  </si>
  <si>
    <t>â‚¬838.73B</t>
  </si>
  <si>
    <t>â‚¬44,815 - â‚¬99,272</t>
  </si>
  <si>
    <t>['amazon', 'aws', 'r', 'python', 'scala', 'sql', 'machine learning', 'tableau']</t>
  </si>
  <si>
    <t>â‚¬231.89B</t>
  </si>
  <si>
    <t>â‚¬232,749 - â‚¬288,865</t>
  </si>
  <si>
    <t>â‚¬154.11B</t>
  </si>
  <si>
    <t>â‚¬20,445</t>
  </si>
  <si>
    <t>Bellevue, WA . Hybrid</t>
  </si>
  <si>
    <t>â‚¬143,514 - â‚¬287,023</t>
  </si>
  <si>
    <t>['pytorch', 'aws', 'python', 'docker', 'machine learning', 'gcp', 'kubernetes', 'azure', 'tensorflow']</t>
  </si>
  <si>
    <t>â‚¬129.19B</t>
  </si>
  <si>
    <t>â‚¬126,724 - â‚¬218,487</t>
  </si>
  <si>
    <t>Arlington, VA . West Hollywood, CA . New York, United States . Austin, TX . Palo Alto, CA + 2 More</t>
  </si>
  <si>
    <t>â‚¬160,994 - â‚¬178,472</t>
  </si>
  <si>
    <t>â‚¬159,157 - â‚¬181,603</t>
  </si>
  <si>
    <t>Burlingame, CA</t>
  </si>
  <si>
    <t>â‚¬231.94B</t>
  </si>
  <si>
    <t>â‚¬159,153 - â‚¬222,628</t>
  </si>
  <si>
    <t>â‚¬119,600 - â‚¬220,792</t>
  </si>
  <si>
    <t>['amazon', 'aws', 'r', 'python', 'sql', 'machine learning']</t>
  </si>
  <si>
    <t>Nashville, TN . Bellevue, WA . Austin, TX . Arlington, VA . Bellevue, Washington, United States</t>
  </si>
  <si>
    <t>â‚¬839.08B</t>
  </si>
  <si>
    <t>â‚¬118,676 - â‚¬220,788</t>
  </si>
  <si>
    <t>['amazon', 'spark', 'r', 'python', 'sql', 'hadoop']</t>
  </si>
  <si>
    <t>â‚¬82.20B</t>
  </si>
  <si>
    <t>â‚¬33,117 - â‚¬47,631</t>
  </si>
  <si>
    <t>â‚¬154.16B</t>
  </si>
  <si>
    <t>â‚¬10,602 - â‚¬26,377</t>
  </si>
  <si>
    <t>24 days ago</t>
  </si>
  <si>
    <t>â‚¬838.98B</t>
  </si>
  <si>
    <t>â‚¬110,400 - â‚¬220,791</t>
  </si>
  <si>
    <t>Scottsdale, AZ . Hybrid</t>
  </si>
  <si>
    <t>â‚¬82.25B</t>
  </si>
  <si>
    <t>â‚¬104,879 - â‚¬211,591</t>
  </si>
  <si>
    <t>['sql', 'powerbi', 'tableau', 'python']</t>
  </si>
  <si>
    <t>â‚¬1.40T</t>
  </si>
  <si>
    <t>â‚¬129,716 - â‚¬185,832</t>
  </si>
  <si>
    <t>Palo Alto, CA . Palo Alto, California, United States . On-site</t>
  </si>
  <si>
    <t>â‚¬352.55B</t>
  </si>
  <si>
    <t>â‚¬131,552</t>
  </si>
  <si>
    <t>Hyderabad, Telangana, India . HaidarÃ¡bÃ¡d, TelangÃ¡na, Indie</t>
  </si>
  <si>
    <t>â‚¬352.85B</t>
  </si>
  <si>
    <t>â‚¬54,950</t>
  </si>
  <si>
    <t>Bengaluru, Karnataka, India . Bangalore, Karnataka, India</t>
  </si>
  <si>
    <t>â‚¬120.24B</t>
  </si>
  <si>
    <t>â‚¬33,283 - â‚¬53,075</t>
  </si>
  <si>
    <t>['docker', 'kubernetes', 'java']</t>
  </si>
  <si>
    <t>â‚¬165,589</t>
  </si>
  <si>
    <t>â‚¬183,991</t>
  </si>
  <si>
    <t>North Reading, MA . North Reading, Massachusetts, USA</t>
  </si>
  <si>
    <t>â‚¬122,355 - â‚¬220,787</t>
  </si>
  <si>
    <t>['amazon', 'python', 'sql', 'hadoop', 'machine learning']</t>
  </si>
  <si>
    <t>â‚¬154.36B</t>
  </si>
  <si>
    <t>â‚¬10,604 - â‚¬26,379</t>
  </si>
  <si>
    <t>â‚¬1.50T</t>
  </si>
  <si>
    <t>â‚¬112,544</t>
  </si>
  <si>
    <t>â‚¬131,557 - â‚¬263,107</t>
  </si>
  <si>
    <t>â‚¬129,712 - â‚¬185,828</t>
  </si>
  <si>
    <t>â‚¬92,773 - â‚¬146,026</t>
  </si>
  <si>
    <t>â‚¬189,510 - â‚¬258,504</t>
  </si>
  <si>
    <t>â‚¬159,154 - â‚¬181,600</t>
  </si>
  <si>
    <t>â‚¬264,761 - â‚¬302,202</t>
  </si>
  <si>
    <t>â‚¬159,157 - â‚¬222,632</t>
  </si>
  <si>
    <t>â‚¬95.22B</t>
  </si>
  <si>
    <t>â‚¬163,752</t>
  </si>
  <si>
    <t>Austin, TX . Bellevue, WA . New York, United States</t>
  </si>
  <si>
    <t>â‚¬156,391</t>
  </si>
  <si>
    <t>â‚¬36.44B</t>
  </si>
  <si>
    <t>â‚¬194,110 - â‚¬221,524</t>
  </si>
  <si>
    <t>â‚¬120.34B</t>
  </si>
  <si>
    <t>â‚¬27,474 - â‚¬53,079</t>
  </si>
  <si>
    <t>â‚¬91,075 - â‚¬206,986</t>
  </si>
  <si>
    <t>â‚¬95.27B</t>
  </si>
  <si>
    <t>â‚¬163,754</t>
  </si>
  <si>
    <t>Seattle, WA . Cupertino, CA</t>
  </si>
  <si>
    <t>â‚¬110,396 - â‚¬220,787</t>
  </si>
  <si>
    <t>â‚¬352.70B</t>
  </si>
  <si>
    <t>â‚¬137,996</t>
  </si>
  <si>
    <t>['pandas', 'numpy', 'pytorch', 'spark', 'aws', 'scikit-learn', 'python', 'sql', 'keras', 'machine learning', 'tensorflow']</t>
  </si>
  <si>
    <t>â‚¬232.14B</t>
  </si>
  <si>
    <t>â‚¬133,392 - â‚¬187,668</t>
  </si>
  <si>
    <t>â‚¬20,440</t>
  </si>
  <si>
    <t>Seattle, WA . Arlington, VA</t>
  </si>
  <si>
    <t>â‚¬838.88B</t>
  </si>
  <si>
    <t>â‚¬110,393 - â‚¬220,784</t>
  </si>
  <si>
    <t>['amazon', 'spark', 'r', 'python', 'sql', 'hadoop', 'machine learning']</t>
  </si>
  <si>
    <t>â‚¬208,825 - â‚¬294,379</t>
  </si>
  <si>
    <t>â‚¬133,489 - â‚¬152,347</t>
  </si>
  <si>
    <t>Palo Alto, CA . Austin, TX . West Hollywood, CA . Arlington, VA . Seattle, WA + 1 More</t>
  </si>
  <si>
    <t>â‚¬118,677 - â‚¬220,789</t>
  </si>
  <si>
    <t>['amazon', 'r', 'python', 'scala', 'sql', 'machine learning']</t>
  </si>
  <si>
    <t>â‚¬133,394 - â‚¬187,670</t>
  </si>
  <si>
    <t>['spark', 'powerbi', 'r', 'python', 'sql', 'machine learning', 'tableau']</t>
  </si>
  <si>
    <t>â‚¬42,805</t>
  </si>
  <si>
    <t>â‚¬97,625</t>
  </si>
  <si>
    <t>â‚¬95.07B</t>
  </si>
  <si>
    <t>â‚¬170,193</t>
  </si>
  <si>
    <t>â‚¬131,559 - â‚¬263,109</t>
  </si>
  <si>
    <t>â‚¬107,640 - â‚¬215,272</t>
  </si>
  <si>
    <t>company_030</t>
  </si>
  <si>
    <t>Belarus</t>
  </si>
  <si>
    <t>Newtown, PA, US</t>
  </si>
  <si>
    <t>â‚¬22,087</t>
  </si>
  <si>
    <t>San Bruno, CA</t>
  </si>
  <si>
    <t>â‚¬181,232 - â‚¬267,706</t>
  </si>
  <si>
    <t>â‚¬172,950 - â‚¬298,014</t>
  </si>
  <si>
    <t>['pytorch', 'python', 'sql', 'machine learning', 'gcp', 'hadoop', 'deep learning', 'tensorflow']</t>
  </si>
  <si>
    <t>â‚¬101,193 - â‚¬202,386</t>
  </si>
  <si>
    <t>['pytorch', 'spark', 'r', 'python', 'scala', 'neural network', 'machine learning', 'deep learning', 'tensorflow']</t>
  </si>
  <si>
    <t>â‚¬232.19B</t>
  </si>
  <si>
    <t>â‚¬232,745 - â‚¬288,861</t>
  </si>
  <si>
    <t>â‚¬1.35T</t>
  </si>
  <si>
    <t>â‚¬181,229 - â‚¬267,703</t>
  </si>
  <si>
    <t>â‚¬110,401 - â‚¬220,792</t>
  </si>
  <si>
    <t>â‚¬168,348 - â‚¬249,302</t>
  </si>
  <si>
    <t>â‚¬10,603 - â‚¬26,378</t>
  </si>
  <si>
    <t>Gothenburg, VÃ¤stra GÃ¶taland County, Sweden . Fully Remote</t>
  </si>
  <si>
    <t>â‚¬25.49B</t>
  </si>
  <si>
    <t>â‚¬60,795</t>
  </si>
  <si>
    <t>['pandas', 'amazon', 'pytorch', 'aws', 'git', 'python', 'docker', 'sql', 'kubernetes', 'azure']</t>
  </si>
  <si>
    <t>Delhi Cantonment, Delhi, India</t>
  </si>
  <si>
    <t>â‚¬71.50B</t>
  </si>
  <si>
    <t>â‚¬9,657</t>
  </si>
  <si>
    <t>â‚¬131,556 - â‚¬263,106</t>
  </si>
  <si>
    <t>Bellevue, WA . Austin, TX . Nashville, TN . Tempe, AZ</t>
  </si>
  <si>
    <t>â‚¬156,392 - â‚¬178,470</t>
  </si>
  <si>
    <t>['amazon', 'aws', 'r', 'python', 'sql', 'tableau']</t>
  </si>
  <si>
    <t>Camden, NJ</t>
  </si>
  <si>
    <t>â‚¬25.34B</t>
  </si>
  <si>
    <t>â‚¬80,371 - â‚¬124,381</t>
  </si>
  <si>
    <t>['r', 'python', 'sql', 'machine learning', 'azure']</t>
  </si>
  <si>
    <t>â‚¬113,612 - â‚¬195,808</t>
  </si>
  <si>
    <t>Chicago, IL . Sunnyvale, CA</t>
  </si>
  <si>
    <t>â‚¬181,235 - â‚¬267,709</t>
  </si>
  <si>
    <t>New York, United States . Los Angeles Metropolitan Area . Seattle, WA . Austin, TX . Arlington, VA + 2 More</t>
  </si>
  <si>
    <t>â‚¬137,999 - â‚¬165,596</t>
  </si>
  <si>
    <t>â‚¬164,672 - â‚¬171,572</t>
  </si>
  <si>
    <t>â‚¬352.80B</t>
  </si>
  <si>
    <t>â‚¬133,114 - â‚¬193,194</t>
  </si>
  <si>
    <t>['pandas', 'numpy', 'python', 'sql', 'machine learning', 'tableau']</t>
  </si>
  <si>
    <t>â‚¬352.60B</t>
  </si>
  <si>
    <t>â‚¬124,196 - â‚¬197,790</t>
  </si>
  <si>
    <t>['pytorch', 'spark', 'python', 'sql', 'keras', 'machine learning', 'tensorflow']</t>
  </si>
  <si>
    <t>Vancouver, British Columbia, Canada</t>
  </si>
  <si>
    <t>â‚¬95,034 - â‚¬158,785</t>
  </si>
  <si>
    <t>['amazon', 'aws', 'python', 'scala', 'java', 'airflow', 'sql']</t>
  </si>
  <si>
    <t>â‚¬159,150 - â‚¬222,625</t>
  </si>
  <si>
    <t>â‚¬131,554 - â‚¬263,104</t>
  </si>
  <si>
    <t>â‚¬110,395 - â‚¬220,786</t>
  </si>
  <si>
    <t>â‚¬154.21B</t>
  </si>
  <si>
    <t>â‚¬10,601 - â‚¬26,376</t>
  </si>
  <si>
    <t>â‚¬129.04B</t>
  </si>
  <si>
    <t>â‚¬57,958 - â‚¬103,129</t>
  </si>
  <si>
    <t>â‚¬131,552 - â‚¬263,102</t>
  </si>
  <si>
    <t>['pytorch', 'spark', 'r', 'python', 'scala', 'java', 'airflow', 'sql', 'machine learning', 'deep learning', 'keras', 'azure', 'tensorflow']</t>
  </si>
  <si>
    <t>Los Angeles, CA . Mountain View, CA</t>
  </si>
  <si>
    <t>â‚¬1.15T</t>
  </si>
  <si>
    <t>â‚¬129,711 - â‚¬185,827</t>
  </si>
  <si>
    <t>â‚¬82.40B</t>
  </si>
  <si>
    <t>â‚¬24,239 - â‚¬47,626</t>
  </si>
  <si>
    <t>â‚¬120.29B</t>
  </si>
  <si>
    <t>â‚¬33,288 - â‚¬53,080</t>
  </si>
  <si>
    <t>['pytorch', 'python', 'sql', 'machine learning', 'deep learning', 'tensorflow']</t>
  </si>
  <si>
    <t>Melbourne, Victoria, Australia</t>
  </si>
  <si>
    <t>â‚¬64,290</t>
  </si>
  <si>
    <t>â‚¬36.29B</t>
  </si>
  <si>
    <t>â‚¬145,904 - â‚¬166,510</t>
  </si>
  <si>
    <t>â‚¬159,149 - â‚¬181,595</t>
  </si>
  <si>
    <t>â‚¬195,486 - â‚¬201,926</t>
  </si>
  <si>
    <t>['r', 'python', 'scala', 'sql', 'machine learning', 'deep learning']</t>
  </si>
  <si>
    <t>Row Labels</t>
  </si>
  <si>
    <t>Grand Total</t>
  </si>
  <si>
    <t>Count of job_title</t>
  </si>
  <si>
    <t>Count of location</t>
  </si>
  <si>
    <t>Count of seniority_level</t>
  </si>
  <si>
    <t>Average of salary_numeric</t>
  </si>
  <si>
    <t>JOB MARKET INTELLIGENCE DASHBOARD 2025</t>
  </si>
  <si>
    <t>Total Jobs</t>
  </si>
  <si>
    <t>Average Salary</t>
  </si>
  <si>
    <t>Total Companies</t>
  </si>
  <si>
    <t>Recent Jobs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</si>
</sst>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Times New Roman"/>
      <family val="1"/>
    </font>
    <font>
      <b/>
      <sz val="19"/>
      <color theme="1"/>
      <name val="Times New Roman"/>
      <family val="1"/>
    </font>
    <font>
      <b/>
      <sz val="20"/>
      <name val="Times New Roman"/>
      <family val="1"/>
    </font>
    <font>
      <b/>
      <sz val="19"/>
      <name val="Times New Roman"/>
      <family val="1"/>
    </font>
    <font>
      <b/>
      <sz val="34"/>
      <color theme="0"/>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18" fillId="34" borderId="0" xfId="0" applyFont="1" applyFill="1" applyAlignment="1">
      <alignment horizontal="center"/>
    </xf>
    <xf numFmtId="0" fontId="19" fillId="34" borderId="0" xfId="0" applyFont="1" applyFill="1" applyAlignment="1">
      <alignment horizontal="center"/>
    </xf>
    <xf numFmtId="0" fontId="19" fillId="34" borderId="0" xfId="0" applyFont="1" applyFill="1" applyAlignment="1">
      <alignment horizontal="center" vertical="center"/>
    </xf>
    <xf numFmtId="0" fontId="21" fillId="34" borderId="0" xfId="0" applyFont="1" applyFill="1" applyBorder="1" applyAlignment="1">
      <alignment horizontal="center" vertical="center"/>
    </xf>
    <xf numFmtId="0" fontId="20" fillId="34" borderId="0" xfId="0" applyFont="1" applyFill="1" applyBorder="1" applyAlignment="1">
      <alignment horizontal="center"/>
    </xf>
    <xf numFmtId="0" fontId="18" fillId="34" borderId="0" xfId="0" applyFont="1" applyFill="1" applyBorder="1" applyAlignment="1">
      <alignment horizontal="center"/>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 formatCode="#,##0"/>
    </dxf>
  </dxfs>
  <tableStyles count="0" defaultTableStyle="TableStyleMedium2" defaultPivotStyle="PivotStyleLight16"/>
  <colors>
    <mruColors>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Job Roles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c:f>
              <c:strCache>
                <c:ptCount val="1"/>
                <c:pt idx="0">
                  <c:v>Total</c:v>
                </c:pt>
              </c:strCache>
            </c:strRef>
          </c:tx>
          <c:spPr>
            <a:solidFill>
              <a:schemeClr val="accent1"/>
            </a:solidFill>
            <a:ln>
              <a:noFill/>
            </a:ln>
            <a:effectLst/>
          </c:spPr>
          <c:invertIfNegative val="0"/>
          <c:cat>
            <c:strRef>
              <c:f>Pivot_Table!$A$2:$A$6</c:f>
              <c:strCache>
                <c:ptCount val="4"/>
                <c:pt idx="0">
                  <c:v>data scientist</c:v>
                </c:pt>
                <c:pt idx="1">
                  <c:v>machine learning engineer</c:v>
                </c:pt>
                <c:pt idx="2">
                  <c:v>data engineer</c:v>
                </c:pt>
                <c:pt idx="3">
                  <c:v>data analyst</c:v>
                </c:pt>
              </c:strCache>
            </c:strRef>
          </c:cat>
          <c:val>
            <c:numRef>
              <c:f>Pivot_Table!$B$2:$B$6</c:f>
              <c:numCache>
                <c:formatCode>General</c:formatCode>
                <c:ptCount val="4"/>
                <c:pt idx="0">
                  <c:v>856</c:v>
                </c:pt>
                <c:pt idx="1">
                  <c:v>80</c:v>
                </c:pt>
                <c:pt idx="2">
                  <c:v>4</c:v>
                </c:pt>
                <c:pt idx="3">
                  <c:v>1</c:v>
                </c:pt>
              </c:numCache>
            </c:numRef>
          </c:val>
          <c:extLst>
            <c:ext xmlns:c16="http://schemas.microsoft.com/office/drawing/2014/chart" uri="{C3380CC4-5D6E-409C-BE32-E72D297353CC}">
              <c16:uniqueId val="{00000000-C5FF-4139-848B-3AE213DBBC2E}"/>
            </c:ext>
          </c:extLst>
        </c:ser>
        <c:dLbls>
          <c:showLegendKey val="0"/>
          <c:showVal val="0"/>
          <c:showCatName val="0"/>
          <c:showSerName val="0"/>
          <c:showPercent val="0"/>
          <c:showBubbleSize val="0"/>
        </c:dLbls>
        <c:gapWidth val="182"/>
        <c:axId val="1980116239"/>
        <c:axId val="1980111919"/>
      </c:barChart>
      <c:catAx>
        <c:axId val="1980116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11919"/>
        <c:crosses val="autoZero"/>
        <c:auto val="1"/>
        <c:lblAlgn val="ctr"/>
        <c:lblOffset val="100"/>
        <c:noMultiLvlLbl val="0"/>
      </c:catAx>
      <c:valAx>
        <c:axId val="1980111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1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38232720909879E-2"/>
          <c:y val="0.21235892388451444"/>
          <c:w val="0.41147353455818025"/>
          <c:h val="0.68578922426363376"/>
        </c:manualLayout>
      </c:layout>
      <c:doughnutChart>
        <c:varyColors val="1"/>
        <c:ser>
          <c:idx val="0"/>
          <c:order val="0"/>
          <c:tx>
            <c:strRef>
              <c:f>Pivot_Table!$B$20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Pivot_Table!$A$21:$A$26</c:f>
              <c:strCache>
                <c:ptCount val="5"/>
                <c:pt idx="0">
                  <c:v>junior</c:v>
                </c:pt>
                <c:pt idx="1">
                  <c:v>lead</c:v>
                </c:pt>
                <c:pt idx="2">
                  <c:v>midlevel</c:v>
                </c:pt>
                <c:pt idx="3">
                  <c:v>Not Specified</c:v>
                </c:pt>
                <c:pt idx="4">
                  <c:v>senior</c:v>
                </c:pt>
              </c:strCache>
            </c:strRef>
          </c:cat>
          <c:val>
            <c:numRef>
              <c:f>Pivot_Table!$B$21:$B$26</c:f>
              <c:numCache>
                <c:formatCode>General</c:formatCode>
                <c:ptCount val="5"/>
                <c:pt idx="0">
                  <c:v>25</c:v>
                </c:pt>
                <c:pt idx="1">
                  <c:v>115</c:v>
                </c:pt>
                <c:pt idx="2">
                  <c:v>111</c:v>
                </c:pt>
                <c:pt idx="3">
                  <c:v>60</c:v>
                </c:pt>
                <c:pt idx="4">
                  <c:v>630</c:v>
                </c:pt>
              </c:numCache>
            </c:numRef>
          </c:val>
          <c:extLst>
            <c:ext xmlns:c16="http://schemas.microsoft.com/office/drawing/2014/chart" uri="{C3380CC4-5D6E-409C-BE32-E72D297353CC}">
              <c16:uniqueId val="{00000000-D574-4323-8F59-433EF0F0EB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7986111111111116"/>
          <c:y val="0.29389909594634001"/>
          <c:w val="0.18055555555555555"/>
          <c:h val="0.458956464548659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Hiring Locations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Pivot_Table!$M$1</c:f>
              <c:strCache>
                <c:ptCount val="1"/>
                <c:pt idx="0">
                  <c:v>Total</c:v>
                </c:pt>
              </c:strCache>
            </c:strRef>
          </c:tx>
          <c:spPr>
            <a:solidFill>
              <a:schemeClr val="accent1"/>
            </a:solidFill>
            <a:ln>
              <a:noFill/>
            </a:ln>
            <a:effectLst/>
          </c:spPr>
          <c:invertIfNegative val="0"/>
          <c:cat>
            <c:strRef>
              <c:f>Pivot_Table!$L$2:$L$12</c:f>
              <c:strCache>
                <c:ptCount val="10"/>
                <c:pt idx="0">
                  <c:v>Bengaluru, Karnataka, India</c:v>
                </c:pt>
                <c:pt idx="1">
                  <c:v>Fully Remote</c:v>
                </c:pt>
                <c:pt idx="2">
                  <c:v>United States</c:v>
                </c:pt>
                <c:pt idx="3">
                  <c:v>New York, NY</c:v>
                </c:pt>
                <c:pt idx="4">
                  <c:v>On-site</c:v>
                </c:pt>
                <c:pt idx="5">
                  <c:v>San Francisco, CA</c:v>
                </c:pt>
                <c:pt idx="6">
                  <c:v>Mountain View, CA</c:v>
                </c:pt>
                <c:pt idx="7">
                  <c:v>Sunnyvale, CA</c:v>
                </c:pt>
                <c:pt idx="8">
                  <c:v>Bengaluru, Karnataka, India . Hybrid</c:v>
                </c:pt>
                <c:pt idx="9">
                  <c:v>Hybrid</c:v>
                </c:pt>
              </c:strCache>
            </c:strRef>
          </c:cat>
          <c:val>
            <c:numRef>
              <c:f>Pivot_Table!$M$2:$M$12</c:f>
              <c:numCache>
                <c:formatCode>General</c:formatCode>
                <c:ptCount val="10"/>
                <c:pt idx="0">
                  <c:v>52</c:v>
                </c:pt>
                <c:pt idx="1">
                  <c:v>35</c:v>
                </c:pt>
                <c:pt idx="2">
                  <c:v>22</c:v>
                </c:pt>
                <c:pt idx="3">
                  <c:v>22</c:v>
                </c:pt>
                <c:pt idx="4">
                  <c:v>18</c:v>
                </c:pt>
                <c:pt idx="5">
                  <c:v>17</c:v>
                </c:pt>
                <c:pt idx="6">
                  <c:v>17</c:v>
                </c:pt>
                <c:pt idx="7">
                  <c:v>13</c:v>
                </c:pt>
                <c:pt idx="8">
                  <c:v>12</c:v>
                </c:pt>
                <c:pt idx="9">
                  <c:v>12</c:v>
                </c:pt>
              </c:numCache>
            </c:numRef>
          </c:val>
          <c:extLst>
            <c:ext xmlns:c16="http://schemas.microsoft.com/office/drawing/2014/chart" uri="{C3380CC4-5D6E-409C-BE32-E72D297353CC}">
              <c16:uniqueId val="{00000000-2B82-4764-93F2-2A711C7E8705}"/>
            </c:ext>
          </c:extLst>
        </c:ser>
        <c:dLbls>
          <c:showLegendKey val="0"/>
          <c:showVal val="0"/>
          <c:showCatName val="0"/>
          <c:showSerName val="0"/>
          <c:showPercent val="0"/>
          <c:showBubbleSize val="0"/>
        </c:dLbls>
        <c:gapWidth val="219"/>
        <c:overlap val="-27"/>
        <c:axId val="2031170303"/>
        <c:axId val="2031169343"/>
      </c:barChart>
      <c:catAx>
        <c:axId val="203117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69343"/>
        <c:crosses val="autoZero"/>
        <c:auto val="1"/>
        <c:lblAlgn val="ctr"/>
        <c:lblOffset val="100"/>
        <c:noMultiLvlLbl val="0"/>
      </c:catAx>
      <c:valAx>
        <c:axId val="203116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Pivot_Table!$M$20</c:f>
              <c:strCache>
                <c:ptCount val="1"/>
                <c:pt idx="0">
                  <c:v>Total</c:v>
                </c:pt>
              </c:strCache>
            </c:strRef>
          </c:tx>
          <c:spPr>
            <a:solidFill>
              <a:schemeClr val="accent1"/>
            </a:solidFill>
            <a:ln>
              <a:noFill/>
            </a:ln>
            <a:effectLst/>
          </c:spPr>
          <c:invertIfNegative val="0"/>
          <c:cat>
            <c:strRef>
              <c:f>Pivot_Table!$L$21:$L$26</c:f>
              <c:strCache>
                <c:ptCount val="5"/>
                <c:pt idx="0">
                  <c:v>lead</c:v>
                </c:pt>
                <c:pt idx="1">
                  <c:v>senior</c:v>
                </c:pt>
                <c:pt idx="2">
                  <c:v>Not Specified</c:v>
                </c:pt>
                <c:pt idx="3">
                  <c:v>midlevel</c:v>
                </c:pt>
                <c:pt idx="4">
                  <c:v>junior</c:v>
                </c:pt>
              </c:strCache>
            </c:strRef>
          </c:cat>
          <c:val>
            <c:numRef>
              <c:f>Pivot_Table!$M$21:$M$26</c:f>
              <c:numCache>
                <c:formatCode>General</c:formatCode>
                <c:ptCount val="5"/>
                <c:pt idx="0">
                  <c:v>149482.18260869564</c:v>
                </c:pt>
                <c:pt idx="1">
                  <c:v>135549.15</c:v>
                </c:pt>
                <c:pt idx="2">
                  <c:v>133824.79999999999</c:v>
                </c:pt>
                <c:pt idx="3">
                  <c:v>101261.2072072072</c:v>
                </c:pt>
                <c:pt idx="4">
                  <c:v>87939.74</c:v>
                </c:pt>
              </c:numCache>
            </c:numRef>
          </c:val>
          <c:extLst>
            <c:ext xmlns:c16="http://schemas.microsoft.com/office/drawing/2014/chart" uri="{C3380CC4-5D6E-409C-BE32-E72D297353CC}">
              <c16:uniqueId val="{00000000-CA8F-4351-94BD-0382F1EA01CC}"/>
            </c:ext>
          </c:extLst>
        </c:ser>
        <c:dLbls>
          <c:showLegendKey val="0"/>
          <c:showVal val="0"/>
          <c:showCatName val="0"/>
          <c:showSerName val="0"/>
          <c:showPercent val="0"/>
          <c:showBubbleSize val="0"/>
        </c:dLbls>
        <c:gapWidth val="182"/>
        <c:axId val="41147327"/>
        <c:axId val="41143007"/>
      </c:barChart>
      <c:catAx>
        <c:axId val="4114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3007"/>
        <c:crosses val="autoZero"/>
        <c:auto val="1"/>
        <c:lblAlgn val="ctr"/>
        <c:lblOffset val="100"/>
        <c:noMultiLvlLbl val="0"/>
      </c:catAx>
      <c:valAx>
        <c:axId val="4114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c:f>
              <c:strCache>
                <c:ptCount val="1"/>
                <c:pt idx="0">
                  <c:v>Total</c:v>
                </c:pt>
              </c:strCache>
            </c:strRef>
          </c:tx>
          <c:spPr>
            <a:ln w="28575" cap="rnd">
              <a:solidFill>
                <a:schemeClr val="accent1"/>
              </a:solidFill>
              <a:round/>
            </a:ln>
            <a:effectLst/>
          </c:spPr>
          <c:marker>
            <c:symbol val="none"/>
          </c:marker>
          <c:cat>
            <c:strRef>
              <c:f>Pivot_Table!$A$42:$A$57</c:f>
              <c:strCache>
                <c:ptCount val="15"/>
                <c:pt idx="0">
                  <c:v>9</c:v>
                </c:pt>
                <c:pt idx="1">
                  <c:v>10</c:v>
                </c:pt>
                <c:pt idx="2">
                  <c:v>11</c:v>
                </c:pt>
                <c:pt idx="3">
                  <c:v>12</c:v>
                </c:pt>
                <c:pt idx="4">
                  <c:v>13</c:v>
                </c:pt>
                <c:pt idx="5">
                  <c:v>16</c:v>
                </c:pt>
                <c:pt idx="6">
                  <c:v>17</c:v>
                </c:pt>
                <c:pt idx="7">
                  <c:v>18</c:v>
                </c:pt>
                <c:pt idx="8">
                  <c:v>19</c:v>
                </c:pt>
                <c:pt idx="9">
                  <c:v>20</c:v>
                </c:pt>
                <c:pt idx="10">
                  <c:v>21</c:v>
                </c:pt>
                <c:pt idx="11">
                  <c:v>22</c:v>
                </c:pt>
                <c:pt idx="12">
                  <c:v>23</c:v>
                </c:pt>
                <c:pt idx="13">
                  <c:v>24</c:v>
                </c:pt>
                <c:pt idx="14">
                  <c:v>25</c:v>
                </c:pt>
              </c:strCache>
            </c:strRef>
          </c:cat>
          <c:val>
            <c:numRef>
              <c:f>Pivot_Table!$B$42:$B$57</c:f>
              <c:numCache>
                <c:formatCode>General</c:formatCode>
                <c:ptCount val="15"/>
                <c:pt idx="0">
                  <c:v>11</c:v>
                </c:pt>
                <c:pt idx="1">
                  <c:v>11</c:v>
                </c:pt>
                <c:pt idx="2">
                  <c:v>12</c:v>
                </c:pt>
                <c:pt idx="3">
                  <c:v>12</c:v>
                </c:pt>
                <c:pt idx="4">
                  <c:v>13</c:v>
                </c:pt>
                <c:pt idx="5">
                  <c:v>15</c:v>
                </c:pt>
                <c:pt idx="6">
                  <c:v>13</c:v>
                </c:pt>
                <c:pt idx="7">
                  <c:v>17</c:v>
                </c:pt>
                <c:pt idx="8">
                  <c:v>17</c:v>
                </c:pt>
                <c:pt idx="9">
                  <c:v>11</c:v>
                </c:pt>
                <c:pt idx="10">
                  <c:v>27</c:v>
                </c:pt>
                <c:pt idx="11">
                  <c:v>16</c:v>
                </c:pt>
                <c:pt idx="12">
                  <c:v>9</c:v>
                </c:pt>
                <c:pt idx="13">
                  <c:v>1</c:v>
                </c:pt>
                <c:pt idx="14">
                  <c:v>12</c:v>
                </c:pt>
              </c:numCache>
            </c:numRef>
          </c:val>
          <c:smooth val="0"/>
          <c:extLst>
            <c:ext xmlns:c16="http://schemas.microsoft.com/office/drawing/2014/chart" uri="{C3380CC4-5D6E-409C-BE32-E72D297353CC}">
              <c16:uniqueId val="{00000000-DCA1-42F7-82D4-1B283EA42CDA}"/>
            </c:ext>
          </c:extLst>
        </c:ser>
        <c:dLbls>
          <c:showLegendKey val="0"/>
          <c:showVal val="0"/>
          <c:showCatName val="0"/>
          <c:showSerName val="0"/>
          <c:showPercent val="0"/>
          <c:showBubbleSize val="0"/>
        </c:dLbls>
        <c:smooth val="0"/>
        <c:axId val="2031176063"/>
        <c:axId val="2031168383"/>
      </c:lineChart>
      <c:catAx>
        <c:axId val="203117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68383"/>
        <c:crosses val="autoZero"/>
        <c:auto val="1"/>
        <c:lblAlgn val="ctr"/>
        <c:lblOffset val="100"/>
        <c:noMultiLvlLbl val="0"/>
      </c:catAx>
      <c:valAx>
        <c:axId val="203116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Industries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52047743"/>
        <c:axId val="52041023"/>
      </c:barChart>
      <c:catAx>
        <c:axId val="5204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1023"/>
        <c:crosses val="autoZero"/>
        <c:auto val="1"/>
        <c:lblAlgn val="ctr"/>
        <c:lblOffset val="100"/>
        <c:noMultiLvlLbl val="0"/>
      </c:catAx>
      <c:valAx>
        <c:axId val="52041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Job Roles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83085129563692"/>
          <c:y val="0.19384040536599587"/>
          <c:w val="0.56163405898799645"/>
          <c:h val="0.62968613298337706"/>
        </c:manualLayout>
      </c:layout>
      <c:barChart>
        <c:barDir val="bar"/>
        <c:grouping val="clustered"/>
        <c:varyColors val="0"/>
        <c:ser>
          <c:idx val="0"/>
          <c:order val="0"/>
          <c:tx>
            <c:strRef>
              <c:f>Pivot_Table!$B$1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Pivot_Table!$A$2:$A$6</c:f>
              <c:strCache>
                <c:ptCount val="4"/>
                <c:pt idx="0">
                  <c:v>data scientist</c:v>
                </c:pt>
                <c:pt idx="1">
                  <c:v>machine learning engineer</c:v>
                </c:pt>
                <c:pt idx="2">
                  <c:v>data engineer</c:v>
                </c:pt>
                <c:pt idx="3">
                  <c:v>data analyst</c:v>
                </c:pt>
              </c:strCache>
            </c:strRef>
          </c:cat>
          <c:val>
            <c:numRef>
              <c:f>Pivot_Table!$B$2:$B$6</c:f>
              <c:numCache>
                <c:formatCode>General</c:formatCode>
                <c:ptCount val="4"/>
                <c:pt idx="0">
                  <c:v>856</c:v>
                </c:pt>
                <c:pt idx="1">
                  <c:v>80</c:v>
                </c:pt>
                <c:pt idx="2">
                  <c:v>4</c:v>
                </c:pt>
                <c:pt idx="3">
                  <c:v>1</c:v>
                </c:pt>
              </c:numCache>
            </c:numRef>
          </c:val>
          <c:extLst>
            <c:ext xmlns:c16="http://schemas.microsoft.com/office/drawing/2014/chart" uri="{C3380CC4-5D6E-409C-BE32-E72D297353CC}">
              <c16:uniqueId val="{00000000-1B44-4610-9356-E798CCE6DED1}"/>
            </c:ext>
          </c:extLst>
        </c:ser>
        <c:dLbls>
          <c:showLegendKey val="0"/>
          <c:showVal val="0"/>
          <c:showCatName val="0"/>
          <c:showSerName val="0"/>
          <c:showPercent val="0"/>
          <c:showBubbleSize val="0"/>
        </c:dLbls>
        <c:gapWidth val="115"/>
        <c:overlap val="-20"/>
        <c:axId val="1980116239"/>
        <c:axId val="1980111919"/>
      </c:barChart>
      <c:catAx>
        <c:axId val="198011623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11919"/>
        <c:crosses val="autoZero"/>
        <c:auto val="1"/>
        <c:lblAlgn val="ctr"/>
        <c:lblOffset val="100"/>
        <c:noMultiLvlLbl val="0"/>
      </c:catAx>
      <c:valAx>
        <c:axId val="198011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11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3683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[job_market_dashboard.xlsx]Pivot_Table!PivotTable2</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Hiring Locations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9361961198148"/>
          <c:y val="0.19396202310248592"/>
          <c:w val="0.73884891346806203"/>
          <c:h val="0.50496840328210435"/>
        </c:manualLayout>
      </c:layout>
      <c:barChart>
        <c:barDir val="col"/>
        <c:grouping val="clustered"/>
        <c:varyColors val="0"/>
        <c:ser>
          <c:idx val="0"/>
          <c:order val="0"/>
          <c:tx>
            <c:strRef>
              <c:f>Pivot_Table!$M$1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Pivot_Table!$L$2:$L$12</c:f>
              <c:strCache>
                <c:ptCount val="10"/>
                <c:pt idx="0">
                  <c:v>Bengaluru, Karnataka, India</c:v>
                </c:pt>
                <c:pt idx="1">
                  <c:v>Fully Remote</c:v>
                </c:pt>
                <c:pt idx="2">
                  <c:v>United States</c:v>
                </c:pt>
                <c:pt idx="3">
                  <c:v>New York, NY</c:v>
                </c:pt>
                <c:pt idx="4">
                  <c:v>On-site</c:v>
                </c:pt>
                <c:pt idx="5">
                  <c:v>San Francisco, CA</c:v>
                </c:pt>
                <c:pt idx="6">
                  <c:v>Mountain View, CA</c:v>
                </c:pt>
                <c:pt idx="7">
                  <c:v>Sunnyvale, CA</c:v>
                </c:pt>
                <c:pt idx="8">
                  <c:v>Bengaluru, Karnataka, India . Hybrid</c:v>
                </c:pt>
                <c:pt idx="9">
                  <c:v>Hybrid</c:v>
                </c:pt>
              </c:strCache>
            </c:strRef>
          </c:cat>
          <c:val>
            <c:numRef>
              <c:f>Pivot_Table!$M$2:$M$12</c:f>
              <c:numCache>
                <c:formatCode>General</c:formatCode>
                <c:ptCount val="10"/>
                <c:pt idx="0">
                  <c:v>52</c:v>
                </c:pt>
                <c:pt idx="1">
                  <c:v>35</c:v>
                </c:pt>
                <c:pt idx="2">
                  <c:v>22</c:v>
                </c:pt>
                <c:pt idx="3">
                  <c:v>22</c:v>
                </c:pt>
                <c:pt idx="4">
                  <c:v>18</c:v>
                </c:pt>
                <c:pt idx="5">
                  <c:v>17</c:v>
                </c:pt>
                <c:pt idx="6">
                  <c:v>17</c:v>
                </c:pt>
                <c:pt idx="7">
                  <c:v>13</c:v>
                </c:pt>
                <c:pt idx="8">
                  <c:v>12</c:v>
                </c:pt>
                <c:pt idx="9">
                  <c:v>12</c:v>
                </c:pt>
              </c:numCache>
            </c:numRef>
          </c:val>
          <c:extLst>
            <c:ext xmlns:c16="http://schemas.microsoft.com/office/drawing/2014/chart" uri="{C3380CC4-5D6E-409C-BE32-E72D297353CC}">
              <c16:uniqueId val="{00000000-9069-4410-8BC9-ECCBAAC596CF}"/>
            </c:ext>
          </c:extLst>
        </c:ser>
        <c:dLbls>
          <c:showLegendKey val="0"/>
          <c:showVal val="0"/>
          <c:showCatName val="0"/>
          <c:showSerName val="0"/>
          <c:showPercent val="0"/>
          <c:showBubbleSize val="0"/>
        </c:dLbls>
        <c:gapWidth val="100"/>
        <c:overlap val="-24"/>
        <c:axId val="2031170303"/>
        <c:axId val="2031169343"/>
      </c:barChart>
      <c:catAx>
        <c:axId val="20311703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69343"/>
        <c:crosses val="autoZero"/>
        <c:auto val="1"/>
        <c:lblAlgn val="ctr"/>
        <c:lblOffset val="100"/>
        <c:noMultiLvlLbl val="0"/>
      </c:catAx>
      <c:valAx>
        <c:axId val="203116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0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368300" dist="508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3"/>
    </mc:Choice>
    <mc:Fallback>
      <c:style val="3"/>
    </mc:Fallback>
  </mc:AlternateContent>
  <c:pivotSource>
    <c:name>[job_market_dashboard.xlsx]Pivot_Table!PivotTable3</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5140432146801134E-2"/>
          <c:y val="0.18819795155380353"/>
          <c:w val="0.50292687957934701"/>
          <c:h val="0.77502709831138505"/>
        </c:manualLayout>
      </c:layout>
      <c:doughnutChart>
        <c:varyColors val="1"/>
        <c:ser>
          <c:idx val="0"/>
          <c:order val="0"/>
          <c:tx>
            <c:strRef>
              <c:f>Pivot_Table!$B$20</c:f>
              <c:strCache>
                <c:ptCount val="1"/>
                <c:pt idx="0">
                  <c:v>Total</c:v>
                </c:pt>
              </c:strCache>
            </c:strRef>
          </c:tx>
          <c:dPt>
            <c:idx val="0"/>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AD-4FF2-B176-506FBCCA45D3}"/>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AD-4FF2-B176-506FBCCA45D3}"/>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0AD-4FF2-B176-506FBCCA45D3}"/>
              </c:ext>
            </c:extLst>
          </c:dPt>
          <c:dPt>
            <c:idx val="3"/>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0AD-4FF2-B176-506FBCCA45D3}"/>
              </c:ext>
            </c:extLst>
          </c:dPt>
          <c:dPt>
            <c:idx val="4"/>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0AD-4FF2-B176-506FBCCA45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Pivot_Table!$A$21:$A$26</c:f>
              <c:strCache>
                <c:ptCount val="5"/>
                <c:pt idx="0">
                  <c:v>junior</c:v>
                </c:pt>
                <c:pt idx="1">
                  <c:v>lead</c:v>
                </c:pt>
                <c:pt idx="2">
                  <c:v>midlevel</c:v>
                </c:pt>
                <c:pt idx="3">
                  <c:v>Not Specified</c:v>
                </c:pt>
                <c:pt idx="4">
                  <c:v>senior</c:v>
                </c:pt>
              </c:strCache>
            </c:strRef>
          </c:cat>
          <c:val>
            <c:numRef>
              <c:f>Pivot_Table!$B$21:$B$26</c:f>
              <c:numCache>
                <c:formatCode>General</c:formatCode>
                <c:ptCount val="5"/>
                <c:pt idx="0">
                  <c:v>25</c:v>
                </c:pt>
                <c:pt idx="1">
                  <c:v>115</c:v>
                </c:pt>
                <c:pt idx="2">
                  <c:v>111</c:v>
                </c:pt>
                <c:pt idx="3">
                  <c:v>60</c:v>
                </c:pt>
                <c:pt idx="4">
                  <c:v>630</c:v>
                </c:pt>
              </c:numCache>
            </c:numRef>
          </c:val>
          <c:extLst>
            <c:ext xmlns:c16="http://schemas.microsoft.com/office/drawing/2014/chart" uri="{C3380CC4-5D6E-409C-BE32-E72D297353CC}">
              <c16:uniqueId val="{0000000A-80AD-4FF2-B176-506FBCCA45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5414150069476606"/>
          <c:y val="0.26304454298908675"/>
          <c:w val="0.32821144048170448"/>
          <c:h val="0.5435046587587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3683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Hiring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90552230378849"/>
          <c:y val="0.25687139107611545"/>
          <c:w val="0.59789422996132879"/>
          <c:h val="0.6322400217214228"/>
        </c:manualLayout>
      </c:layout>
      <c:barChart>
        <c:barDir val="bar"/>
        <c:grouping val="clustered"/>
        <c:varyColors val="0"/>
        <c:ser>
          <c:idx val="0"/>
          <c:order val="0"/>
          <c:tx>
            <c:strRef>
              <c:f>Pivot_Table!$M$20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Pivot_Table!$L$21:$L$26</c:f>
              <c:strCache>
                <c:ptCount val="5"/>
                <c:pt idx="0">
                  <c:v>lead</c:v>
                </c:pt>
                <c:pt idx="1">
                  <c:v>senior</c:v>
                </c:pt>
                <c:pt idx="2">
                  <c:v>Not Specified</c:v>
                </c:pt>
                <c:pt idx="3">
                  <c:v>midlevel</c:v>
                </c:pt>
                <c:pt idx="4">
                  <c:v>junior</c:v>
                </c:pt>
              </c:strCache>
            </c:strRef>
          </c:cat>
          <c:val>
            <c:numRef>
              <c:f>Pivot_Table!$M$21:$M$26</c:f>
              <c:numCache>
                <c:formatCode>General</c:formatCode>
                <c:ptCount val="5"/>
                <c:pt idx="0">
                  <c:v>149482.18260869564</c:v>
                </c:pt>
                <c:pt idx="1">
                  <c:v>135549.15</c:v>
                </c:pt>
                <c:pt idx="2">
                  <c:v>133824.79999999999</c:v>
                </c:pt>
                <c:pt idx="3">
                  <c:v>101261.2072072072</c:v>
                </c:pt>
                <c:pt idx="4">
                  <c:v>87939.74</c:v>
                </c:pt>
              </c:numCache>
            </c:numRef>
          </c:val>
          <c:extLst>
            <c:ext xmlns:c16="http://schemas.microsoft.com/office/drawing/2014/chart" uri="{C3380CC4-5D6E-409C-BE32-E72D297353CC}">
              <c16:uniqueId val="{00000000-3B60-47BF-8A32-DD3F5F6E41B4}"/>
            </c:ext>
          </c:extLst>
        </c:ser>
        <c:dLbls>
          <c:showLegendKey val="0"/>
          <c:showVal val="0"/>
          <c:showCatName val="0"/>
          <c:showSerName val="0"/>
          <c:showPercent val="0"/>
          <c:showBubbleSize val="0"/>
        </c:dLbls>
        <c:gapWidth val="115"/>
        <c:overlap val="-20"/>
        <c:axId val="41147327"/>
        <c:axId val="41143007"/>
      </c:barChart>
      <c:catAx>
        <c:axId val="41147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3007"/>
        <c:crosses val="autoZero"/>
        <c:auto val="1"/>
        <c:lblAlgn val="ctr"/>
        <c:lblOffset val="100"/>
        <c:noMultiLvlLbl val="0"/>
      </c:catAx>
      <c:valAx>
        <c:axId val="41143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4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3683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[job_market_dashboard.xlsx]Pivot_Table!PivotTable5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0972672533579"/>
          <c:y val="0.20970729114809683"/>
          <c:w val="0.83042760537285765"/>
          <c:h val="0.69153391278608234"/>
        </c:manualLayout>
      </c:layout>
      <c:lineChart>
        <c:grouping val="standard"/>
        <c:varyColors val="0"/>
        <c:ser>
          <c:idx val="0"/>
          <c:order val="0"/>
          <c:tx>
            <c:strRef>
              <c:f>Pivot_Table!$B$41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Pivot_Table!$A$42:$A$57</c:f>
              <c:strCache>
                <c:ptCount val="15"/>
                <c:pt idx="0">
                  <c:v>9</c:v>
                </c:pt>
                <c:pt idx="1">
                  <c:v>10</c:v>
                </c:pt>
                <c:pt idx="2">
                  <c:v>11</c:v>
                </c:pt>
                <c:pt idx="3">
                  <c:v>12</c:v>
                </c:pt>
                <c:pt idx="4">
                  <c:v>13</c:v>
                </c:pt>
                <c:pt idx="5">
                  <c:v>16</c:v>
                </c:pt>
                <c:pt idx="6">
                  <c:v>17</c:v>
                </c:pt>
                <c:pt idx="7">
                  <c:v>18</c:v>
                </c:pt>
                <c:pt idx="8">
                  <c:v>19</c:v>
                </c:pt>
                <c:pt idx="9">
                  <c:v>20</c:v>
                </c:pt>
                <c:pt idx="10">
                  <c:v>21</c:v>
                </c:pt>
                <c:pt idx="11">
                  <c:v>22</c:v>
                </c:pt>
                <c:pt idx="12">
                  <c:v>23</c:v>
                </c:pt>
                <c:pt idx="13">
                  <c:v>24</c:v>
                </c:pt>
                <c:pt idx="14">
                  <c:v>25</c:v>
                </c:pt>
              </c:strCache>
            </c:strRef>
          </c:cat>
          <c:val>
            <c:numRef>
              <c:f>Pivot_Table!$B$42:$B$57</c:f>
              <c:numCache>
                <c:formatCode>General</c:formatCode>
                <c:ptCount val="15"/>
                <c:pt idx="0">
                  <c:v>11</c:v>
                </c:pt>
                <c:pt idx="1">
                  <c:v>11</c:v>
                </c:pt>
                <c:pt idx="2">
                  <c:v>12</c:v>
                </c:pt>
                <c:pt idx="3">
                  <c:v>12</c:v>
                </c:pt>
                <c:pt idx="4">
                  <c:v>13</c:v>
                </c:pt>
                <c:pt idx="5">
                  <c:v>15</c:v>
                </c:pt>
                <c:pt idx="6">
                  <c:v>13</c:v>
                </c:pt>
                <c:pt idx="7">
                  <c:v>17</c:v>
                </c:pt>
                <c:pt idx="8">
                  <c:v>17</c:v>
                </c:pt>
                <c:pt idx="9">
                  <c:v>11</c:v>
                </c:pt>
                <c:pt idx="10">
                  <c:v>27</c:v>
                </c:pt>
                <c:pt idx="11">
                  <c:v>16</c:v>
                </c:pt>
                <c:pt idx="12">
                  <c:v>9</c:v>
                </c:pt>
                <c:pt idx="13">
                  <c:v>1</c:v>
                </c:pt>
                <c:pt idx="14">
                  <c:v>12</c:v>
                </c:pt>
              </c:numCache>
            </c:numRef>
          </c:val>
          <c:smooth val="0"/>
          <c:extLst>
            <c:ext xmlns:c16="http://schemas.microsoft.com/office/drawing/2014/chart" uri="{C3380CC4-5D6E-409C-BE32-E72D297353CC}">
              <c16:uniqueId val="{00000000-F1D9-472B-BB6D-6C4883C23080}"/>
            </c:ext>
          </c:extLst>
        </c:ser>
        <c:dLbls>
          <c:showLegendKey val="0"/>
          <c:showVal val="0"/>
          <c:showCatName val="0"/>
          <c:showSerName val="0"/>
          <c:showPercent val="0"/>
          <c:showBubbleSize val="0"/>
        </c:dLbls>
        <c:marker val="1"/>
        <c:smooth val="0"/>
        <c:axId val="2031176063"/>
        <c:axId val="2031168383"/>
      </c:lineChart>
      <c:catAx>
        <c:axId val="2031176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68383"/>
        <c:crosses val="autoZero"/>
        <c:auto val="1"/>
        <c:lblAlgn val="ctr"/>
        <c:lblOffset val="100"/>
        <c:noMultiLvlLbl val="0"/>
      </c:catAx>
      <c:valAx>
        <c:axId val="2031168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76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miter lim="800000"/>
    </a:ln>
    <a:effectLst>
      <a:outerShdw blurRad="368300" dist="50800" dir="5400000" algn="ctr" rotWithShape="0">
        <a:srgbClr val="000000">
          <a:alpha val="96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590556</xdr:colOff>
      <xdr:row>0</xdr:row>
      <xdr:rowOff>19050</xdr:rowOff>
    </xdr:from>
    <xdr:to>
      <xdr:col>9</xdr:col>
      <xdr:colOff>1536700</xdr:colOff>
      <xdr:row>15</xdr:row>
      <xdr:rowOff>0</xdr:rowOff>
    </xdr:to>
    <xdr:graphicFrame macro="">
      <xdr:nvGraphicFramePr>
        <xdr:cNvPr id="3" name="Chart 2">
          <a:extLst>
            <a:ext uri="{FF2B5EF4-FFF2-40B4-BE49-F238E27FC236}">
              <a16:creationId xmlns:a16="http://schemas.microsoft.com/office/drawing/2014/main" id="{554D4BA5-E22E-6AA4-49B9-19171B416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19</xdr:row>
      <xdr:rowOff>6350</xdr:rowOff>
    </xdr:from>
    <xdr:to>
      <xdr:col>10</xdr:col>
      <xdr:colOff>6350</xdr:colOff>
      <xdr:row>33</xdr:row>
      <xdr:rowOff>165100</xdr:rowOff>
    </xdr:to>
    <xdr:graphicFrame macro="">
      <xdr:nvGraphicFramePr>
        <xdr:cNvPr id="5" name="Chart 4">
          <a:extLst>
            <a:ext uri="{FF2B5EF4-FFF2-40B4-BE49-F238E27FC236}">
              <a16:creationId xmlns:a16="http://schemas.microsoft.com/office/drawing/2014/main" id="{DE53C269-4839-FDD1-DE93-F0C4C8E24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6350</xdr:colOff>
      <xdr:row>0</xdr:row>
      <xdr:rowOff>6350</xdr:rowOff>
    </xdr:from>
    <xdr:to>
      <xdr:col>21</xdr:col>
      <xdr:colOff>603250</xdr:colOff>
      <xdr:row>15</xdr:row>
      <xdr:rowOff>6350</xdr:rowOff>
    </xdr:to>
    <xdr:graphicFrame macro="">
      <xdr:nvGraphicFramePr>
        <xdr:cNvPr id="6" name="Chart 5">
          <a:extLst>
            <a:ext uri="{FF2B5EF4-FFF2-40B4-BE49-F238E27FC236}">
              <a16:creationId xmlns:a16="http://schemas.microsoft.com/office/drawing/2014/main" id="{A42F18AF-DDF8-9A80-2792-292A48229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6356</xdr:colOff>
      <xdr:row>18</xdr:row>
      <xdr:rowOff>177800</xdr:rowOff>
    </xdr:from>
    <xdr:to>
      <xdr:col>22</xdr:col>
      <xdr:colOff>6350</xdr:colOff>
      <xdr:row>33</xdr:row>
      <xdr:rowOff>177800</xdr:rowOff>
    </xdr:to>
    <xdr:graphicFrame macro="">
      <xdr:nvGraphicFramePr>
        <xdr:cNvPr id="8" name="Chart 7">
          <a:extLst>
            <a:ext uri="{FF2B5EF4-FFF2-40B4-BE49-F238E27FC236}">
              <a16:creationId xmlns:a16="http://schemas.microsoft.com/office/drawing/2014/main" id="{BC5A5093-DCD9-1F96-73A5-CDCC07E4C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596900</xdr:colOff>
      <xdr:row>40</xdr:row>
      <xdr:rowOff>6350</xdr:rowOff>
    </xdr:from>
    <xdr:to>
      <xdr:col>9</xdr:col>
      <xdr:colOff>908056</xdr:colOff>
      <xdr:row>55</xdr:row>
      <xdr:rowOff>177800</xdr:rowOff>
    </xdr:to>
    <xdr:graphicFrame macro="">
      <xdr:nvGraphicFramePr>
        <xdr:cNvPr id="9" name="Chart 8">
          <a:extLst>
            <a:ext uri="{FF2B5EF4-FFF2-40B4-BE49-F238E27FC236}">
              <a16:creationId xmlns:a16="http://schemas.microsoft.com/office/drawing/2014/main" id="{68119C8A-AF13-9A02-1628-B393C5EFD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12706</xdr:colOff>
      <xdr:row>39</xdr:row>
      <xdr:rowOff>177800</xdr:rowOff>
    </xdr:from>
    <xdr:to>
      <xdr:col>22</xdr:col>
      <xdr:colOff>12700</xdr:colOff>
      <xdr:row>54</xdr:row>
      <xdr:rowOff>158750</xdr:rowOff>
    </xdr:to>
    <xdr:graphicFrame macro="">
      <xdr:nvGraphicFramePr>
        <xdr:cNvPr id="10" name="Chart 9">
          <a:extLst>
            <a:ext uri="{FF2B5EF4-FFF2-40B4-BE49-F238E27FC236}">
              <a16:creationId xmlns:a16="http://schemas.microsoft.com/office/drawing/2014/main" id="{E471E1FD-771A-B82A-22A6-9F2DF93F6F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520701</xdr:colOff>
      <xdr:row>8</xdr:row>
      <xdr:rowOff>121709</xdr:rowOff>
    </xdr:from>
    <xdr:to>
      <xdr:col>7</xdr:col>
      <xdr:colOff>515938</xdr:colOff>
      <xdr:row>22</xdr:row>
      <xdr:rowOff>128059</xdr:rowOff>
    </xdr:to>
    <xdr:graphicFrame macro="">
      <xdr:nvGraphicFramePr>
        <xdr:cNvPr id="2" name="Chart 1">
          <a:extLst>
            <a:ext uri="{FF2B5EF4-FFF2-40B4-BE49-F238E27FC236}">
              <a16:creationId xmlns:a16="http://schemas.microsoft.com/office/drawing/2014/main" id="{1CD44E38-BB9F-4D2F-B63D-4FD91B63F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317501</xdr:colOff>
      <xdr:row>8</xdr:row>
      <xdr:rowOff>93133</xdr:rowOff>
    </xdr:from>
    <xdr:to>
      <xdr:col>15</xdr:col>
      <xdr:colOff>325439</xdr:colOff>
      <xdr:row>22</xdr:row>
      <xdr:rowOff>112183</xdr:rowOff>
    </xdr:to>
    <xdr:graphicFrame macro="">
      <xdr:nvGraphicFramePr>
        <xdr:cNvPr id="3" name="Chart 2">
          <a:extLst>
            <a:ext uri="{FF2B5EF4-FFF2-40B4-BE49-F238E27FC236}">
              <a16:creationId xmlns:a16="http://schemas.microsoft.com/office/drawing/2014/main" id="{A3BFA577-C7F4-4EA2-B6A7-98B87C6BC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486834</xdr:colOff>
      <xdr:row>24</xdr:row>
      <xdr:rowOff>92604</xdr:rowOff>
    </xdr:from>
    <xdr:to>
      <xdr:col>7</xdr:col>
      <xdr:colOff>486834</xdr:colOff>
      <xdr:row>39</xdr:row>
      <xdr:rowOff>84666</xdr:rowOff>
    </xdr:to>
    <xdr:graphicFrame macro="">
      <xdr:nvGraphicFramePr>
        <xdr:cNvPr id="4" name="Chart 3">
          <a:extLst>
            <a:ext uri="{FF2B5EF4-FFF2-40B4-BE49-F238E27FC236}">
              <a16:creationId xmlns:a16="http://schemas.microsoft.com/office/drawing/2014/main" id="{24D5D651-82E2-43DC-A6C8-740F8DA59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275168</xdr:colOff>
      <xdr:row>24</xdr:row>
      <xdr:rowOff>0</xdr:rowOff>
    </xdr:from>
    <xdr:to>
      <xdr:col>15</xdr:col>
      <xdr:colOff>275168</xdr:colOff>
      <xdr:row>39</xdr:row>
      <xdr:rowOff>0</xdr:rowOff>
    </xdr:to>
    <xdr:graphicFrame macro="">
      <xdr:nvGraphicFramePr>
        <xdr:cNvPr id="5" name="Chart 4">
          <a:extLst>
            <a:ext uri="{FF2B5EF4-FFF2-40B4-BE49-F238E27FC236}">
              <a16:creationId xmlns:a16="http://schemas.microsoft.com/office/drawing/2014/main" id="{A5BEE4EB-4827-466F-8305-0045B0EBD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105834</xdr:colOff>
      <xdr:row>41</xdr:row>
      <xdr:rowOff>0</xdr:rowOff>
    </xdr:from>
    <xdr:to>
      <xdr:col>8</xdr:col>
      <xdr:colOff>529167</xdr:colOff>
      <xdr:row>56</xdr:row>
      <xdr:rowOff>171450</xdr:rowOff>
    </xdr:to>
    <xdr:graphicFrame macro="">
      <xdr:nvGraphicFramePr>
        <xdr:cNvPr id="6" name="Chart 5">
          <a:extLst>
            <a:ext uri="{FF2B5EF4-FFF2-40B4-BE49-F238E27FC236}">
              <a16:creationId xmlns:a16="http://schemas.microsoft.com/office/drawing/2014/main" id="{E3295865-6DEB-49EC-AFF8-518D558D2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287547</xdr:colOff>
      <xdr:row>1</xdr:row>
      <xdr:rowOff>131793</xdr:rowOff>
    </xdr:from>
    <xdr:to>
      <xdr:col>3</xdr:col>
      <xdr:colOff>491227</xdr:colOff>
      <xdr:row>6</xdr:row>
      <xdr:rowOff>155756</xdr:rowOff>
    </xdr:to>
    <xdr:sp macro="" textlink="">
      <xdr:nvSpPr>
        <xdr:cNvPr id="11" name="Rectangle: Rounded Corners 10">
          <a:extLst>
            <a:ext uri="{FF2B5EF4-FFF2-40B4-BE49-F238E27FC236}">
              <a16:creationId xmlns:a16="http://schemas.microsoft.com/office/drawing/2014/main" id="{D5770E95-44B9-FC8C-5D3C-979BE19BBE84}"/>
            </a:ext>
          </a:extLst>
        </xdr:cNvPr>
        <xdr:cNvSpPr/>
      </xdr:nvSpPr>
      <xdr:spPr>
        <a:xfrm>
          <a:off x="287547" y="527170"/>
          <a:ext cx="2036793" cy="1066322"/>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Times New Roman" panose="02020603050405020304" pitchFamily="18" charset="0"/>
              <a:cs typeface="Times New Roman" panose="02020603050405020304" pitchFamily="18" charset="0"/>
            </a:rPr>
            <a:t>Total Jobs</a:t>
          </a:r>
        </a:p>
        <a:p>
          <a:pPr algn="ctr"/>
          <a:r>
            <a:rPr lang="en-US" sz="2800" b="1">
              <a:latin typeface="Times New Roman" panose="02020603050405020304" pitchFamily="18" charset="0"/>
              <a:cs typeface="Times New Roman" panose="02020603050405020304" pitchFamily="18" charset="0"/>
            </a:rPr>
            <a:t>941</a:t>
          </a:r>
        </a:p>
      </xdr:txBody>
    </xdr:sp>
    <xdr:clientData/>
  </xdr:twoCellAnchor>
  <xdr:twoCellAnchor>
    <xdr:from>
      <xdr:col>4</xdr:col>
      <xdr:colOff>191699</xdr:colOff>
      <xdr:row>1</xdr:row>
      <xdr:rowOff>119811</xdr:rowOff>
    </xdr:from>
    <xdr:to>
      <xdr:col>8</xdr:col>
      <xdr:colOff>155755</xdr:colOff>
      <xdr:row>6</xdr:row>
      <xdr:rowOff>107830</xdr:rowOff>
    </xdr:to>
    <xdr:sp macro="" textlink="">
      <xdr:nvSpPr>
        <xdr:cNvPr id="12" name="Rectangle: Rounded Corners 11">
          <a:extLst>
            <a:ext uri="{FF2B5EF4-FFF2-40B4-BE49-F238E27FC236}">
              <a16:creationId xmlns:a16="http://schemas.microsoft.com/office/drawing/2014/main" id="{76164C47-8D63-0988-700D-5360E9BAD5DD}"/>
            </a:ext>
          </a:extLst>
        </xdr:cNvPr>
        <xdr:cNvSpPr/>
      </xdr:nvSpPr>
      <xdr:spPr>
        <a:xfrm>
          <a:off x="2635850" y="515188"/>
          <a:ext cx="2468113" cy="1030378"/>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Top Companies</a:t>
          </a:r>
        </a:p>
        <a:p>
          <a:pPr algn="ctr"/>
          <a:r>
            <a:rPr lang="en-US" sz="2800" b="1">
              <a:latin typeface="Times New Roman" panose="02020603050405020304" pitchFamily="18" charset="0"/>
              <a:cs typeface="Times New Roman" panose="02020603050405020304" pitchFamily="18" charset="0"/>
            </a:rPr>
            <a:t>418</a:t>
          </a:r>
        </a:p>
      </xdr:txBody>
    </xdr:sp>
    <xdr:clientData/>
  </xdr:twoCellAnchor>
  <xdr:twoCellAnchor>
    <xdr:from>
      <xdr:col>8</xdr:col>
      <xdr:colOff>443301</xdr:colOff>
      <xdr:row>1</xdr:row>
      <xdr:rowOff>131793</xdr:rowOff>
    </xdr:from>
    <xdr:to>
      <xdr:col>12</xdr:col>
      <xdr:colOff>191699</xdr:colOff>
      <xdr:row>6</xdr:row>
      <xdr:rowOff>83868</xdr:rowOff>
    </xdr:to>
    <xdr:sp macro="" textlink="">
      <xdr:nvSpPr>
        <xdr:cNvPr id="13" name="Rectangle: Rounded Corners 12">
          <a:extLst>
            <a:ext uri="{FF2B5EF4-FFF2-40B4-BE49-F238E27FC236}">
              <a16:creationId xmlns:a16="http://schemas.microsoft.com/office/drawing/2014/main" id="{FB674DD9-A27A-4E5D-BCCF-EDA0B33443BB}"/>
            </a:ext>
          </a:extLst>
        </xdr:cNvPr>
        <xdr:cNvSpPr/>
      </xdr:nvSpPr>
      <xdr:spPr>
        <a:xfrm>
          <a:off x="5391509" y="527170"/>
          <a:ext cx="2192548" cy="994434"/>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Average Salary</a:t>
          </a:r>
        </a:p>
        <a:p>
          <a:pPr marL="0" marR="0" lvl="0" indent="0" algn="ctr" defTabSz="914400" eaLnBrk="1" fontAlgn="auto" latinLnBrk="0" hangingPunct="1">
            <a:lnSpc>
              <a:spcPct val="100000"/>
            </a:lnSpc>
            <a:spcBef>
              <a:spcPts val="0"/>
            </a:spcBef>
            <a:spcAft>
              <a:spcPts val="0"/>
            </a:spcAft>
            <a:buClrTx/>
            <a:buSzTx/>
            <a:buFontTx/>
            <a:buNone/>
            <a:tabLst/>
            <a:defRPr/>
          </a:pPr>
          <a:r>
            <a:rPr lang="en-US" sz="2800" b="1">
              <a:solidFill>
                <a:schemeClr val="lt1"/>
              </a:solidFill>
              <a:effectLst/>
              <a:latin typeface="Times New Roman" panose="02020603050405020304" pitchFamily="18" charset="0"/>
              <a:ea typeface="+mn-ea"/>
              <a:cs typeface="Times New Roman" panose="02020603050405020304" pitchFamily="18" charset="0"/>
            </a:rPr>
            <a:t>10.2K</a:t>
          </a:r>
          <a:endParaRPr lang="en-US" sz="2800">
            <a:effectLst/>
            <a:latin typeface="Times New Roman" panose="02020603050405020304" pitchFamily="18" charset="0"/>
            <a:cs typeface="Times New Roman" panose="02020603050405020304" pitchFamily="18" charset="0"/>
          </a:endParaRPr>
        </a:p>
        <a:p>
          <a:pPr algn="l"/>
          <a:endParaRPr lang="en-US" sz="2800">
            <a:latin typeface="Times New Roman" panose="02020603050405020304" pitchFamily="18" charset="0"/>
            <a:cs typeface="Times New Roman" panose="02020603050405020304" pitchFamily="18" charset="0"/>
          </a:endParaRPr>
        </a:p>
      </xdr:txBody>
    </xdr:sp>
    <xdr:clientData/>
  </xdr:twoCellAnchor>
  <xdr:twoCellAnchor>
    <xdr:from>
      <xdr:col>12</xdr:col>
      <xdr:colOff>587076</xdr:colOff>
      <xdr:row>1</xdr:row>
      <xdr:rowOff>167736</xdr:rowOff>
    </xdr:from>
    <xdr:to>
      <xdr:col>16</xdr:col>
      <xdr:colOff>131794</xdr:colOff>
      <xdr:row>6</xdr:row>
      <xdr:rowOff>83868</xdr:rowOff>
    </xdr:to>
    <xdr:sp macro="" textlink="">
      <xdr:nvSpPr>
        <xdr:cNvPr id="14" name="Rectangle: Rounded Corners 13">
          <a:extLst>
            <a:ext uri="{FF2B5EF4-FFF2-40B4-BE49-F238E27FC236}">
              <a16:creationId xmlns:a16="http://schemas.microsoft.com/office/drawing/2014/main" id="{F6ADB4A6-6B2B-4743-A722-FB0D22A7EA55}"/>
            </a:ext>
          </a:extLst>
        </xdr:cNvPr>
        <xdr:cNvSpPr/>
      </xdr:nvSpPr>
      <xdr:spPr>
        <a:xfrm>
          <a:off x="7979434" y="563113"/>
          <a:ext cx="1988869" cy="958491"/>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Times New Roman" panose="02020603050405020304" pitchFamily="18" charset="0"/>
              <a:cs typeface="Times New Roman" panose="02020603050405020304" pitchFamily="18" charset="0"/>
            </a:rPr>
            <a:t>Recent Jobs</a:t>
          </a:r>
        </a:p>
        <a:p>
          <a:pPr algn="ctr"/>
          <a:r>
            <a:rPr lang="en-US" sz="2800" b="1">
              <a:latin typeface="Times New Roman" panose="02020603050405020304" pitchFamily="18" charset="0"/>
              <a:cs typeface="Times New Roman" panose="02020603050405020304" pitchFamily="18" charset="0"/>
            </a:rPr>
            <a:t>346</a:t>
          </a:r>
        </a:p>
      </xdr:txBody>
    </xdr:sp>
    <xdr:clientData/>
  </xdr:twoCellAnchor>
  <xdr:twoCellAnchor>
    <xdr:from>
      <xdr:col>23</xdr:col>
      <xdr:colOff>0</xdr:colOff>
      <xdr:row>1</xdr:row>
      <xdr:rowOff>0</xdr:rowOff>
    </xdr:from>
    <xdr:to>
      <xdr:col>23</xdr:col>
      <xdr:colOff>381000</xdr:colOff>
      <xdr:row>2</xdr:row>
      <xdr:rowOff>120650</xdr:rowOff>
    </xdr:to>
    <xdr:sp macro="" textlink="">
      <xdr:nvSpPr>
        <xdr:cNvPr id="4097" name="Text Box 1">
          <a:extLst>
            <a:ext uri="{FF2B5EF4-FFF2-40B4-BE49-F238E27FC236}">
              <a16:creationId xmlns:a16="http://schemas.microsoft.com/office/drawing/2014/main" id="{06987E00-DD49-82CB-6536-F750D908BFE6}"/>
            </a:ext>
          </a:extLst>
        </xdr:cNvPr>
        <xdr:cNvSpPr txBox="1">
          <a:spLocks noChangeArrowheads="1"/>
        </xdr:cNvSpPr>
      </xdr:nvSpPr>
      <xdr:spPr bwMode="auto">
        <a:xfrm>
          <a:off x="14077950" y="400050"/>
          <a:ext cx="381000" cy="304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100" b="0" i="0" u="none" strike="noStrike" baseline="0">
              <a:solidFill>
                <a:srgbClr val="000000"/>
              </a:solidFill>
              <a:latin typeface="Aptos Narrow"/>
            </a:rPr>
            <a:t>Total Jobs</a:t>
          </a:r>
        </a:p>
      </xdr:txBody>
    </xdr:sp>
    <xdr:clientData/>
  </xdr:twoCellAnchor>
  <xdr:twoCellAnchor>
    <xdr:from>
      <xdr:col>9</xdr:col>
      <xdr:colOff>338667</xdr:colOff>
      <xdr:row>41</xdr:row>
      <xdr:rowOff>105832</xdr:rowOff>
    </xdr:from>
    <xdr:to>
      <xdr:col>16</xdr:col>
      <xdr:colOff>127000</xdr:colOff>
      <xdr:row>56</xdr:row>
      <xdr:rowOff>0</xdr:rowOff>
    </xdr:to>
    <xdr:sp macro="" textlink="">
      <xdr:nvSpPr>
        <xdr:cNvPr id="16" name="TextBox 15">
          <a:extLst>
            <a:ext uri="{FF2B5EF4-FFF2-40B4-BE49-F238E27FC236}">
              <a16:creationId xmlns:a16="http://schemas.microsoft.com/office/drawing/2014/main" id="{06EE0816-4A32-983A-09A7-15668E159523}"/>
            </a:ext>
          </a:extLst>
        </xdr:cNvPr>
        <xdr:cNvSpPr txBox="1"/>
      </xdr:nvSpPr>
      <xdr:spPr>
        <a:xfrm>
          <a:off x="5926667" y="8254999"/>
          <a:ext cx="4085166" cy="2751668"/>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marL="171450" indent="-171450">
            <a:buFont typeface="Arial" panose="020B0604020202020204" pitchFamily="34" charset="0"/>
            <a:buChar char="•"/>
          </a:pPr>
          <a:endParaRPr lang="en-US" sz="1100"/>
        </a:p>
        <a:p>
          <a:pPr marL="171450" indent="-171450">
            <a:buFont typeface="Arial" panose="020B0604020202020204" pitchFamily="34" charset="0"/>
            <a:buChar char="•"/>
          </a:pPr>
          <a:endParaRPr lang="en-US" sz="1100" b="0">
            <a:latin typeface="+mn-lt"/>
            <a:cs typeface="+mn-cs"/>
          </a:endParaRPr>
        </a:p>
        <a:p>
          <a:pPr marL="457200" indent="-457200">
            <a:buFont typeface="Wingdings" panose="05000000000000000000" pitchFamily="2" charset="2"/>
            <a:buChar char="Ø"/>
          </a:pPr>
          <a:r>
            <a:rPr lang="en-US" sz="2800" b="1">
              <a:latin typeface="Times New Roman" panose="02020603050405020304" pitchFamily="18" charset="0"/>
              <a:cs typeface="Times New Roman" panose="02020603050405020304" pitchFamily="18" charset="0"/>
            </a:rPr>
            <a:t>Key Insights</a:t>
          </a:r>
        </a:p>
        <a:p>
          <a:pPr marL="0" indent="0">
            <a:buFont typeface="Arial" panose="020B0604020202020204" pitchFamily="34" charset="0"/>
            <a:buNone/>
          </a:pPr>
          <a:endParaRPr lang="en-US" sz="2800" b="1">
            <a:latin typeface="Times New Roman" panose="02020603050405020304" pitchFamily="18" charset="0"/>
            <a:cs typeface="Times New Roman" panose="02020603050405020304" pitchFamily="18" charset="0"/>
          </a:endParaRPr>
        </a:p>
        <a:p>
          <a:pPr marL="285750" indent="-285750">
            <a:buFont typeface="Wingdings" panose="05000000000000000000" pitchFamily="2" charset="2"/>
            <a:buChar char="q"/>
          </a:pPr>
          <a:r>
            <a:rPr lang="en-US" sz="1800" b="0">
              <a:latin typeface="Times New Roman" panose="02020603050405020304" pitchFamily="18" charset="0"/>
              <a:cs typeface="Times New Roman" panose="02020603050405020304" pitchFamily="18" charset="0"/>
            </a:rPr>
            <a:t>Data Scientist roles dominate hiring</a:t>
          </a:r>
        </a:p>
        <a:p>
          <a:pPr marL="285750" indent="-285750">
            <a:buFont typeface="Wingdings" panose="05000000000000000000" pitchFamily="2" charset="2"/>
            <a:buChar char="q"/>
          </a:pPr>
          <a:r>
            <a:rPr lang="en-US" sz="1800" b="0">
              <a:latin typeface="Times New Roman" panose="02020603050405020304" pitchFamily="18" charset="0"/>
              <a:cs typeface="Times New Roman" panose="02020603050405020304" pitchFamily="18" charset="0"/>
            </a:rPr>
            <a:t> Bengaluru shows highest openings</a:t>
          </a:r>
        </a:p>
        <a:p>
          <a:pPr marL="285750" indent="-285750">
            <a:buFont typeface="Wingdings" panose="05000000000000000000" pitchFamily="2" charset="2"/>
            <a:buChar char="q"/>
          </a:pPr>
          <a:r>
            <a:rPr lang="en-US" sz="1800" b="0">
              <a:latin typeface="Times New Roman" panose="02020603050405020304" pitchFamily="18" charset="0"/>
              <a:cs typeface="Times New Roman" panose="02020603050405020304" pitchFamily="18" charset="0"/>
            </a:rPr>
            <a:t> Technology sector leads demand</a:t>
          </a:r>
        </a:p>
        <a:p>
          <a:pPr marL="285750" indent="-285750">
            <a:buFont typeface="Wingdings" panose="05000000000000000000" pitchFamily="2" charset="2"/>
            <a:buChar char="q"/>
          </a:pPr>
          <a:r>
            <a:rPr lang="en-US" sz="1800" b="0">
              <a:latin typeface="Times New Roman" panose="02020603050405020304" pitchFamily="18" charset="0"/>
              <a:cs typeface="Times New Roman" panose="02020603050405020304" pitchFamily="18" charset="0"/>
            </a:rPr>
            <a:t> Senior roles show higher salaries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ri chavhan" refreshedDate="46161.693443865741" createdVersion="8" refreshedVersion="8" minRefreshableVersion="3" recordCount="941" xr:uid="{EB43C09C-EF87-42F4-82FF-E2B97E7E9A59}">
  <cacheSource type="worksheet">
    <worksheetSource name="JobData"/>
  </cacheSource>
  <cacheFields count="15">
    <cacheField name="job_title" numFmtId="0">
      <sharedItems count="4">
        <s v="data scientist"/>
        <s v="machine learning engineer"/>
        <s v="data analyst"/>
        <s v="data engineer"/>
      </sharedItems>
    </cacheField>
    <cacheField name="seniority_level" numFmtId="0">
      <sharedItems count="5">
        <s v="senior"/>
        <s v="lead"/>
        <s v="Not Specified"/>
        <s v="junior"/>
        <s v="midlevel"/>
      </sharedItems>
    </cacheField>
    <cacheField name="status" numFmtId="0">
      <sharedItems/>
    </cacheField>
    <cacheField name="company" numFmtId="0">
      <sharedItems/>
    </cacheField>
    <cacheField name="location" numFmtId="0">
      <sharedItems count="432" longText="1">
        <s v="Grapevine, TX . Hybrid"/>
        <s v="Fort Worth, TX . Hybrid"/>
        <s v="Austin, TX . Toronto, Ontario, Canada . Kirkland, WA . Orlando, FL . Edmonton, Alberta, Canada + 1 More"/>
        <s v="Chicago, IL . Scottsdale, AZ . Austin, TX . Hybrid"/>
        <s v="On-site"/>
        <s v="New York, NY"/>
        <s v="Berkeley, CA"/>
        <s v="Menlo Park, CA"/>
        <s v="Fully Remote"/>
        <s v="Atlanta, GA"/>
        <s v="Greater Vancouver Metropolitan Area"/>
        <s v="Minneapolis, MN . Fully Remote"/>
        <s v="Titusville, NJ . Titusville, New Jersey, United States"/>
        <s v="Arlington, VA"/>
        <s v="Bengaluru, Karnataka, India"/>
        <s v="Charlotte, NC . On-site"/>
        <s v="Basel, Basel, Switzerland"/>
        <s v="Toronto, Ontario, Canada . On-site"/>
        <s v="Findlay, OH . Denver, CO . San Antonio, TX"/>
        <s v="Toronto, Ontario, Canada"/>
        <s v="San Francisco, CA"/>
        <s v="Remote, US . Fully Remote"/>
        <s v="Huntsville, AL . Merritt Island, FL . Seattle, WA"/>
        <s v="Laurel, MD"/>
        <s v="Amsterdam, North Holland, Netherlands"/>
        <s v="Richmond, VA . On-site"/>
        <s v="Seattle, WA . Hybrid"/>
        <s v="Manchester, England, United Kingdom . Hybrid"/>
        <s v="Foster City, CA . Hybrid"/>
        <s v="San Francisco, CA, US . Seattle, WA, US . Hybrid"/>
        <s v="United States"/>
        <s v="Cambridge, MA"/>
        <s v="United States . Fully Remote"/>
        <s v="San Diego, CA"/>
        <s v="Toronto, Ontario, Canada . Montreal, Quebec, Canada . Hybrid"/>
        <s v="New York, NY . Hybrid"/>
        <s v="Seattle, WA"/>
        <s v="McLean, VA . Hybrid"/>
        <s v="Seattle, Washington, United States . On-site"/>
        <s v="Warsaw, Mazowieckie, Poland . Prague, Prague, Czechia . Kyiv, Kyiv City, Ukraine"/>
        <s v="San Francisco, California, United States . On-site"/>
        <s v="Bangalore, Karnataka"/>
        <s v="Toronto, Ontario, Canada . Hybrid"/>
        <s v="Rock Island, IL . On-site"/>
        <s v="Cambridge, England, United Kingdom"/>
        <s v="Oregon, United States . Fully Remote"/>
        <s v="Pune, Maharashtra, India"/>
        <s v="Denver, CO"/>
        <s v="Charlotte, NC"/>
        <s v="Bengaluru, Karnataka, India . Hybrid"/>
        <s v="Chennai, Tamil Nadu, India"/>
        <s v="Menlo Park, CA . On-site"/>
        <s v="Remote, United States . Fully Remote"/>
        <s v="San Francisco, CA, US . Remote, US . Fully Remote"/>
        <s v="Pittsburgh, PA"/>
        <s v="Seattle, WA . Seattle, Washington, Ã‰tats-Unis . Seattle, Washington, USA"/>
        <s v="Taipei, Taiwan . On-site"/>
        <s v="Denver, CO . Hybrid"/>
        <s v="Fort Worth, TX"/>
        <s v="Austin, Texas . Hybrid"/>
        <s v="Toronto, ON . Hybrid"/>
        <s v="Orlando, FL"/>
        <s v="All, MO"/>
        <s v="Mountain View, California (HQ) . On-site"/>
        <s v="Reston, VA"/>
        <s v="Redwood City, US, California . Hybrid"/>
        <s v="Veldhoven, North Brabant, Netherlands . On-site"/>
        <s v="Ridgefield, CT"/>
        <s v="San Mateo, CA . On-site"/>
        <s v="Omaha, NE . Newport Beach, CA . Massachusetts, United States"/>
        <s v="Torrance, CA"/>
        <s v="Los Angeles, CA . United States . San Francisco, CA . Hybrid"/>
        <s v="Navi Mumbai, Maharashtra, India . Hybrid"/>
        <s v="Tallinn, Harjumaa, Estonia . Hybrid"/>
        <s v="Fairfax, VA"/>
        <s v="Phoenix, AZ"/>
        <s v="Hybrid"/>
        <s v="Bengaluru, Karnataka, India . On-site"/>
        <s v="Austin, TX . Hybrid"/>
        <s v="Cincinnati, OH . Chicago, IL . Hybrid"/>
        <s v="Manassas, VA"/>
        <s v="Eindhoven, North Brabant, Netherlands"/>
        <s v="Cincinnati, OH"/>
        <s v="San Francisco, CA . Seattle, WA . New York, NY . On-site"/>
        <s v="Raleigh-Durham-Chapel Hill Area"/>
        <s v="Rochester, New York Metropolitan Area"/>
        <s v="Greater SÃ£o Paulo Area . Hybrid"/>
        <s v="Mettawa, IL"/>
        <s v="South San Francisco, CA . On-site"/>
        <s v="San Antonio, TX"/>
        <s v="Mississauga, Ontario, Canada"/>
        <s v="Bowie, MD . On-site"/>
        <s v="Plano, TX . On-site"/>
        <s v="San Francisco, CA . Hybrid"/>
        <s v="Chicago, IL"/>
        <s v="San Francisco, CA . On-site"/>
        <s v="Vancouver, British Columbia, Canada . Hybrid"/>
        <s v="Alameda, CA"/>
        <s v="Berlin, Berlin, Germany"/>
        <s v="Singapore, Singapore"/>
        <s v="Boston, MA . Newark, DE . Tampa, FL . Kennesaw, GA . Plano, TX + 8 More"/>
        <s v="San Diego, CA . On-site"/>
        <s v="Redmond, WA"/>
        <s v="San Francisco, California . On-site"/>
        <s v="Annapolis Junction, MD . Annapolis, MD . Fully Remote"/>
        <s v="Rosemont, IL"/>
        <s v="Hyderabad, Telangana, India"/>
        <s v="Chantilly, VA . On-site"/>
        <s v="Montreal, Quebec, Canada . Hybrid"/>
        <s v="Lebanon, NH . Hybrid"/>
        <s v="Annapolis Junction, MD"/>
        <s v="Budapest, Budapest, Hungary"/>
        <s v="Fort Meade, MD . Fort Meade, Maryland, BirleÅŸik Devletler . Fully Remote"/>
        <s v="Mountain View, CA"/>
        <s v="Antwerp Metropolitan Area"/>
        <s v="Dublin, County Dublin, Ireland"/>
        <s v="Alpharetta, GA"/>
        <s v="San Jose, CA . Hybrid"/>
        <s v="United States . On-site"/>
        <s v="Unknown"/>
        <s v="Riverwoods, IL"/>
        <s v="South San Francisco, CA"/>
        <s v="Tallahassee, FL . Arlington, VA . Fully Remote"/>
        <s v="Edinburgh, Scotland, United Kingdom"/>
        <s v="Milwaukee, WI"/>
        <s v="Pune, Maharashtra, India . On-site"/>
        <s v="Johns Creek, GA"/>
        <s v="Basking Ridge, NJ . Irving, TX . Temple Terrace, FL . Boston, MA . Ashburn, VA + 1 More . Hybrid"/>
        <s v="Itanagar, Arunachal Pradesh, India"/>
        <s v="New Brunswick, NJ"/>
        <s v="Bellevue, WA"/>
        <s v="McLean, VA"/>
        <s v="Columbia, MD"/>
        <s v="Utah, United States"/>
        <s v="South San Francisco, CA . South San Francisco, Kalifornia, Stany Zjednoczone"/>
        <s v="Kitchener-Waterloo, ON . Toronto, ON . Hybrid"/>
        <s v="Greater Chicago Area . Hybrid"/>
        <s v="Barcelona, Spain . On-site"/>
        <s v="Normal, IL . Plymouth, MI . Palo Alto, CA . Irvine, CA . Atlanta, GA"/>
        <s v="Sunnyvale, CA . Hybrid"/>
        <s v="Boston, MA . Hybrid"/>
        <s v="London, England, United Kingdom . Hybrid"/>
        <s v="Washington, United States . Idaho, United States . Arizona, United States . Georgia, United States . South Carolina, United States + 1 More . Fully Remote"/>
        <s v="Mexico City Metropolitan Area . Fully Remote"/>
        <s v="Englewood, CO"/>
        <s v="Madrid, Community of Madrid, Spain"/>
        <s v="Palo Alto, CA . Hybrid"/>
        <s v="New York City, New York, United States . On-site"/>
        <s v="Lexington, MA . Massachusetts, United States"/>
        <s v="New York, United States"/>
        <s v="Fort George G Meade, Maryland, United States . On-site"/>
        <s v="SÃ£o Paulo, SÃ£o Paulo, Brazil . Fully Remote"/>
        <s v="Sacramento, CA"/>
        <s v="New York, United States . Minneapolis, MN . Chicago, IL"/>
        <s v="Bengaluru, Karnataka, India . Bengaluru East, Karnataka, India"/>
        <s v="Washington, DC . On-site"/>
        <s v="Jersey City, NJ"/>
        <s v="Los Alamos, NM"/>
        <s v="Irvine, CA"/>
        <s v="Brisbane, CA"/>
        <s v="Mountain View, California, United States . On-site"/>
        <s v="New York, NY . Boston, MA . Los Angeles, CA"/>
        <s v="Kansas City, KS . Hybrid"/>
        <s v="Boston, MA . United States"/>
        <s v="Boston, MA . à¸šà¸­à¸ªà¸•à¸±à¸™, à¸£à¸±à¸à¹à¸¡à¸ªà¸‹à¸²à¸Šà¸¹à¹€à¸‹à¸•à¸ªà¹Œ, à¸ªà¸«à¸£à¸±à¸"/>
        <s v="Overland Park, KS . Frisco, TX . Bellevue, WA . Hybrid"/>
        <s v="Lake Mary, FL . Hybrid"/>
        <s v="Vilniaus, Lithuania . Nzalae/ Nzawa locations, Kitui County, Kenya . Hybrid"/>
        <s v="Brazil, Sao Paulo . On-site"/>
        <s v="Washington, DC"/>
        <s v="San Francisco, CA . Chicago, IL . Seattle, WA . New York, NY"/>
        <s v="Plainsboro, NJ"/>
        <s v="Tempe, AZ . Hybrid"/>
        <s v="Indianapolis, IN"/>
        <s v="Redwood City, CA . Hybrid"/>
        <s v="Santa Clara, CA . Hybrid"/>
        <s v="Boston, MA"/>
        <s v="Raleigh, NC"/>
        <s v="Brooklyn, OH . Cleveland, OH . United States"/>
        <s v="Philadelphia, PA"/>
        <s v="Minneapolis, MN"/>
        <s v="Bucharest, Bucharest, Romania . Vilnius, Vilniaus, Lithuania . Estonia . Bulgaria . Poland + 11 More . Hybrid"/>
        <s v="San Francisco, California, United States . San Francisco, California, USA . Hybrid"/>
        <s v="Chicago, IL . Ø¥Ù„ÙŠÙ†ÙˆÙŠ Ø´ÙŠÙƒØ§ØºÙˆ Ø§Ù„ÙˆÙ„Ø§ÙŠØ§Øª Ø§Ù„Ù…ØªØ­Ø¯Ø© . Hybrid"/>
        <s v="Salt Lake City Metropolitan Area"/>
        <s v="Queenstown, Central Singapore Community Development Council, Singapore"/>
        <s v="Brookfield, WI . Fully Remote"/>
        <s v="Yonkers, New York, United States . Hybrid"/>
        <s v="Berlin, Berlin, Germany . Hybrid"/>
        <s v="Golden Valley, MN . Austin, TX . Hybrid"/>
        <s v="Chicago, IL . Hybrid"/>
        <s v="Ukraine"/>
        <s v="Rockville, MD"/>
        <s v="Minneapolis, MN . Hybrid"/>
        <s v="India, Bengaluru . Fully Remote"/>
        <s v="Colorado Springs, CO"/>
        <s v="South San Francisco, California, United States . On-site"/>
        <s v="Sacramento, California, United States . Jacksonville, Florida, United States . Austin, Texas, United States . Mexico City, Mexico . Ottawa, Ontario, Canada + 17 More . On-site"/>
        <s v="Annapolis Junction, Maryland, United States . On-site"/>
        <s v="United States . Hybrid"/>
        <s v="Fort Huachuca, AZ . Fort Huachuca, Arizona, United States"/>
        <s v="Richmond, VA"/>
        <s v="Ashburn, VA"/>
        <s v="Greater Milwaukee"/>
        <s v="Maplewood, MN . Hybrid"/>
        <s v="Dallas, TX"/>
        <s v="Elsbethen, Salzburg, Austria"/>
        <s v="Los Angeles, CA . Hybrid"/>
        <s v="Chicago, Illinois, United States . Hybrid"/>
        <s v="Detroit, MI"/>
        <s v="Miami, FL"/>
        <s v="New York County, NY"/>
        <s v="Lake Oswego, OR . Portland, OR . Hillsboro, OR"/>
        <s v="San Francisco Bay Area . On-site"/>
        <s v="Grand Rapids, MI"/>
        <s v="Ahmedabad, Gujarat, India . Bengaluru, Karnataka, India"/>
        <s v="New York, New York . Hybrid"/>
        <s v="Fredericksburg, VA . Richmond, VA . San Francisco, CA . Seattle, WA"/>
        <s v="Los Angeles, CA"/>
        <s v="Charlotte, NC . Charlotte, North Carolina, United States"/>
        <s v="Munich, Germany . Hybrid"/>
        <s v="Calgary, Alberta, Canada . Canada, Moyen-Chari, Chad . Greater Calgary Metropolitan Area"/>
        <s v="Augusta, GA"/>
        <s v="Houston, TX . Houston, Texas, Statele Unite Ale Americii . Houston, Texas, USA"/>
        <s v="Henrietta, NY"/>
        <s v="Remote - US . San Diego, California, United States . Fully Remote"/>
        <s v="Visakhapatnam Rural mandal, India"/>
        <s v="Canada . Vancouver, BC, Canada . Hybrid"/>
        <s v="Dublin, Ireland . Hybrid"/>
        <s v="Redwood City, CA (Hybrid) . Hybrid"/>
        <s v="Waltham, MA"/>
        <s v="Pittsburgh, PA . Hybrid"/>
        <s v="Los Angeles County, CA"/>
        <s v="Arlington, VA . Bellevue, WA"/>
        <s v="Princeton, NJ . New York, NY"/>
        <s v="Chennai, Tamil Nadu, India . Hyderabad, Telangana, India"/>
        <s v="Washington, United States"/>
        <s v="New York, NY . Chicago, IL"/>
        <s v="East Coast, United States . New York, United States . Hybrid"/>
        <s v="Greater Birmingham, Alabama Area . Hybrid"/>
        <s v="Markham, Ontario, Canada . Toronto, Ontario, Canada . Hybrid"/>
        <s v="Springfield, VA"/>
        <s v="Bellevue, WA . San Francisco, CA . Seattle, WA . Palo Alto, CA"/>
        <s v="Cambridge, MA . Hybrid"/>
        <s v="Bangalore, Karnataka, India . Hybrid"/>
        <s v="Veldhoven, North Brabant, Netherlands"/>
        <s v="Bangkok, Bangkok, Thailand . On-site"/>
        <s v="Cardiff, London or Remote (UK) . Fully Remote"/>
        <s v="Louisville, KY"/>
        <s v="Oklahoma City, OK"/>
        <s v="St Louis, MO"/>
        <s v="Mountain View, CA, US . San Francisco, CA, US . Hybrid"/>
        <s v="Madrid, Community of Madrid, Spain . Hybrid"/>
        <s v="Chicago, Illinois, United States . New York, New York, United States . Hybrid"/>
        <s v="Linthicum Heights, MD . On-site"/>
        <s v="Santa Clara, CA . On-site"/>
        <s v="Stamford, CT"/>
        <s v="Englewood, CO . On-site"/>
        <s v="Princeton, NJ"/>
        <s v="San Francisco, CA . San Jose, CA . Seattle, WA"/>
        <s v="Newport Beach, CA . ÐÑŒÑŽÐ¿Ð¾Ñ€Ñ‚-Ð‘Ð¸Ñ‡, ÐšÐ°Ð»Ð¸Ñ„Ð¾Ñ€Ð½Ð¸Ñ, Ð¡Ð¾ÐµÐ´Ð¸Ð½ÐµÐ½Ð½Ñ‹Ðµ Ð¨Ñ‚Ð°Ñ‚Ñ‹ ÐÐ¼ÐµÑ€Ð¸ÐºÐ¸"/>
        <s v="Canada . Fully Remote"/>
        <s v="San Diego, CA . Hybrid"/>
        <s v="Bengaluru East, Karnataka, India"/>
        <s v="New York, United States . Hybrid"/>
        <s v="Bethesda, MD . Hybrid"/>
        <s v="Brooklyn, NY"/>
        <s v="Hillsboro, OR . Portland, OR . Lake Oswego, OR"/>
        <s v="New York, New York, United States . On-site"/>
        <s v="Toronto, Canada . Hybrid"/>
        <s v="Vancouver, British Columbia, Canada . Marina del Rey, CA . Los Angeles Metropolitan Area . Kirkland, WA . Redwood City, CA"/>
        <s v="Gurugram, Haryana, India"/>
        <s v="Los Angeles Metropolitan Area . On-site"/>
        <s v="Maryland, United States"/>
        <s v="Doral, FL"/>
        <s v="Columbus, OH . Hybrid"/>
        <s v="Washington DC-Baltimore Area . Fully Remote"/>
        <s v="United States, Denver . On-site"/>
        <s v="Lexington, MA"/>
        <s v="Charlotte, AR . Fully Remote"/>
        <s v="Gainesville, FL"/>
        <s v="San Francisco Bay Area . Hybrid"/>
        <s v="Barcelona, Catalonia, Spain"/>
        <s v="Palo Alto, CA . Vancouver, WA . Spring, TX"/>
        <s v="Maplewood, MN"/>
        <s v="Denver, CO - Remote . Fully Remote"/>
        <s v="Washington, DC . Hybrid"/>
        <s v="London, England, United Kingdom"/>
        <s v="New York City, NY . San Francisco, CA . Hybrid"/>
        <s v="Gurgaon, Haryana, India"/>
        <s v="Palo Alto, CA"/>
        <s v="Stockholm, Stockholm County, Sweden"/>
        <s v="Herndon, VA"/>
        <s v="California, United States, Colorado, United States, Florida, United States, Georgia, United States, Illinois, United States, Massachusetts, United States, Nevada, United States, New Jersey, United States, New York, United States, North Carolina, United States, Oregon, United States, Pennsylvania, United States, South Carolina, United States, Texas, United States, Virginia, United States, Washington, United States . Fully Remote"/>
        <s v="Greater Bengaluru Area . Hybrid"/>
        <s v="San Jose, California, United States . Fully Remote"/>
        <s v="Brazil . Fully Remote"/>
        <s v="Boston, MA . On-site"/>
        <s v="San Francisco, California, United States . Hybrid"/>
        <s v="Bentonville, AR . Hybrid"/>
        <s v="Annapolis Junction, MD . Fort Meade, MD . Hybrid"/>
        <s v="Hyderabad, Telangana, India . Chennai, Tamil Nadu, India . Hybrid"/>
        <s v="Santo Domingo, Dominican Republic . Fully Remote"/>
        <s v="India, Hyderabad . Fully Remote"/>
        <s v="Mountain View, CA . San Bruno, CA"/>
        <s v="Whitehouse Station, NJ . Philadelphia, PA . Jersey City, NJ . Philadelphia, Pennsylvania, Amerika Serikat . Whitehouse Station, New Jersey, Amerika Serikat"/>
        <s v="Cary, NC"/>
        <s v="Plano, TX"/>
        <s v="Lima, Peru"/>
        <s v="East Hanover, NJ"/>
        <s v="Albany, NY"/>
        <s v="Boise, ID"/>
        <s v="Dublin, County Dublin, Ireland . Hybrid"/>
        <s v="Gurugram, Haryana, India . Madurai, Tamil Nadu, India . Jaipur, Rajasthan, India . Chandigarh, India . Mumbai, Maharashtra, India + 34 More"/>
        <s v="Fort Meade, MD"/>
        <s v="Redmond, WA . Hybrid"/>
        <s v="Brooklyn Park, MN . Hybrid"/>
        <s v="Alpharetta, GA . Hybrid"/>
        <s v="College Park, MD"/>
        <s v="Mountain View, California, USA . Hybrid"/>
        <s v="Tallinn, Harjumaa, Estonia"/>
        <s v="Fort Belvoir, VA . Reston, VA . Hybrid"/>
        <s v="San Francisco, CA, US . Seattle, WA, US . Palo Alto, CA, US . Hybrid"/>
        <s v="San Jose, CA"/>
        <s v="Sunnyvale, CA"/>
        <s v="Hartford, CT . Chicago, IL . Charlotte, NC . Columbus, OH . Hybrid"/>
        <s v="North Chicago, IL"/>
        <s v="San Juan, Puerto Rico . Fully Remote"/>
        <s v="Overland Park, KS . Bellevue, WA . Frisco, TX"/>
        <s v="Mumbai, Maharashtra, India"/>
        <s v="Mumbai Metropolitan Region . Fully Remote"/>
        <s v="Jersey City, NJ . Whitehouse Station, NJ . Simsbury, CT . Philadelphia, PA"/>
        <s v="San Jose, CA . Austin, TX"/>
        <s v="South San Francisco, CA . New York, NY"/>
        <s v="Bogota, D.C., Capital District, Colombia"/>
        <s v="San Francisco, CA . Atlanta, GA . Portland, OR . Seattle, WA . Pittsburgh, PA + 2 More"/>
        <s v="Bentonville, AR"/>
        <s v="Arlington, VA . Hybrid"/>
        <s v="Kochi, Kerala, India"/>
        <s v="Sevilla La Nueva, Community of Madrid, Spain . Hybrid"/>
        <s v="Chantilly, VA . Hybrid"/>
        <s v="Riverside, CA . On-site"/>
        <s v="Noida, Uttar Pradesh, India . Ahmedabad, Gujarat, India . Trivandrum, Kerala, India . Bengaluru, Karnataka, India . Hyderabad, Telangana, India + 2 More . Hybrid"/>
        <s v="San Francisco, CA . Seattle, WA . Atlanta, GA"/>
        <s v="Jacksonville, FL"/>
        <s v="Spain"/>
        <s v="Mason, OH"/>
        <s v="Overland Park, KS . Bellevue, WA"/>
        <s v="Homestead, FL"/>
        <s v="Raleigh, NC . Fully Remote"/>
        <s v="Mexico City Metropolitan Area"/>
        <s v="Bethesda, MD . On-site"/>
        <s v="Noida, Uttar Pradesh, India"/>
        <s v="Mountain View, California . On-site"/>
        <s v="Valladolid, Castilla and Leon, Spain . Sevilla La Nueva, Community of Madrid, Spain . Hybrid"/>
        <s v="New York, NY . On-site"/>
        <s v="Greater Hyderabad Area"/>
        <s v="North Reading, MA"/>
        <s v="Belize City, Belize, Belize . Fully Remote"/>
        <s v="Norco, CA . Hybrid"/>
        <s v="North Las Vegas, NV . On-site"/>
        <s v="McLean, VA . ë¯¸êµ­ ë²„ì§€ë‹ˆì•„ McLean"/>
        <s v="Austin, TX"/>
        <s v="Singapore, Singapore . ã‚·ãƒ³ã‚¬ãƒãƒ¼ãƒ« ã‚·ãƒ³ã‚¬ãƒãƒ¼ãƒ«"/>
        <s v="Bengaluru, Karnataka, India . Gurugram, Haryana, India . Hyderabad, Telangana, India"/>
        <s v="Austin, TX . Chicago, IL . Hybrid"/>
        <s v="Columbus, OH . On-site"/>
        <s v="Wellesley Hills, MA"/>
        <s v="Birmingham, MI"/>
        <s v="Gurugram, Haryana, India . Hyderabad, Telangana, India"/>
        <s v="Toronto, Ontario, Canada . Markham, Ontario, Canada . Hybrid"/>
        <s v="Mountain View, CA . New York, NY . San Bruno, CA"/>
        <s v="Fort Meade, MD . Hybrid"/>
        <s v="Gurugram, Haryana, India . Bengaluru, Karnataka, India . Hyderabad, Telangana, India . Gurgaon, Haryana, India . Gurgaon, Haryana, Inde + 1 More"/>
        <s v="Seattle, WA . On-site"/>
        <s v="Irving, TX . Basking Ridge, NJ . Ashburn, VA . Hybrid"/>
        <s v="Tampa, FL"/>
        <s v="Zurich, Zurich, Switzerland"/>
        <s v="San Salvador, San Salvador, El Salvador . Fully Remote"/>
        <s v="Chennai, Tamil Nadu, India . Hybrid"/>
        <s v="MÃ¡laga, Andalusia, Spain"/>
        <s v="Malvern, PA . Hybrid"/>
        <s v="Massachusetts, United States . Massachusetts, Amerika Syarikat"/>
        <s v="Hartford, CT . Chicago, IL . Columbus, OH . Charlotte, NC . Columbus, Ohio, United States + 1 More . Hybrid"/>
        <s v="California, United States"/>
        <s v="Newport Beach, CA"/>
        <s v="Seattle, WA . Santa Clara, CA"/>
        <s v="Irving, TX . Lake Mary, FL . Basking Ridge, NJ . Boston, MA . Hybrid"/>
        <s v="Noida, Uttar Pradesh, India . Bengaluru, Karnataka, India"/>
        <s v="Greenwood Village, CO . Hybrid"/>
        <s v="Quito, Pichincha, Ecuador . Fully Remote"/>
        <s v="Podgorica, Montenegro . Fully Remote"/>
        <s v="Hickam Village, HI . Hybrid"/>
        <s v="Charlotte, NC . New York, NY"/>
        <s v="Reston, VA . On-site"/>
        <s v="Tondiarpet, Tamil Nadu, India . Bengaluru, Karnataka, India . Hybrid"/>
        <s v="London, England, United Kingdom . LondÃ½n, Anglie, SpojenÃ© krÃ¡lovstvÃ­ . Hybrid"/>
        <s v="Herndon, VA . Hybrid"/>
        <s v="McLean, VA . McLean, VirgÃ­nia, Estados Unidos"/>
        <s v="Bentonville, AR . On-site"/>
        <s v="Scottsdale, AZ . Chicago, IL . Austin, TX . Scottsdale, Arizona, United States . Hybrid"/>
        <s v="Boulder, CO"/>
        <s v="Santa Barbara, CA . Bellevue, WA"/>
        <s v="Bellevue, WA . New York, United States . Santa Monica, CA"/>
        <s v="Richmond, VA . Hybrid"/>
        <s v="New York, NY . Sunnyvale, CA"/>
        <s v="Plano, TX . Plano, Texas, SpojenÃ© stÃ¡ty . On-site"/>
        <s v="New York, NY . New York, New York, Statele Unite Ale Americii"/>
        <s v="Bellevue, WA . Hybrid"/>
        <s v="Arlington, VA . West Hollywood, CA . New York, United States . Austin, TX . Palo Alto, CA + 2 More"/>
        <s v="Burlingame, CA"/>
        <s v="Nashville, TN . Bellevue, WA . Austin, TX . Arlington, VA . Bellevue, Washington, United States"/>
        <s v="Scottsdale, AZ . Hybrid"/>
        <s v="Palo Alto, CA . Palo Alto, California, United States . On-site"/>
        <s v="Hyderabad, Telangana, India . HaidarÃ¡bÃ¡d, TelangÃ¡na, Indie"/>
        <s v="Bengaluru, Karnataka, India . Bangalore, Karnataka, India"/>
        <s v="North Reading, MA . North Reading, Massachusetts, USA"/>
        <s v="Austin, TX . Bellevue, WA . New York, United States"/>
        <s v="Seattle, WA . Cupertino, CA"/>
        <s v="Seattle, WA . Arlington, VA"/>
        <s v="Palo Alto, CA . Austin, TX . West Hollywood, CA . Arlington, VA . Seattle, WA + 1 More"/>
        <s v="Belarus"/>
        <s v="San Bruno, CA"/>
        <s v="Gothenburg, VÃ¤stra GÃ¶taland County, Sweden . Fully Remote"/>
        <s v="Delhi Cantonment, Delhi, India"/>
        <s v="Bellevue, WA . Austin, TX . Nashville, TN . Tempe, AZ"/>
        <s v="Camden, NJ"/>
        <s v="Chicago, IL . Sunnyvale, CA"/>
        <s v="New York, United States . Los Angeles Metropolitan Area . Seattle, WA . Austin, TX . Arlington, VA + 2 More"/>
        <s v="Vancouver, British Columbia, Canada"/>
        <s v="Los Angeles, CA . Mountain View, CA"/>
        <s v="Melbourne, Victoria, Australia"/>
      </sharedItems>
    </cacheField>
    <cacheField name="post_date" numFmtId="0">
      <sharedItems/>
    </cacheField>
    <cacheField name="headquarter" numFmtId="0">
      <sharedItems count="197">
        <s v="Bentonville, AR, US"/>
        <s v="Detroit, MI, US"/>
        <s v="Redwood City, CA, US"/>
        <s v="San Jose, CA, US"/>
        <s v="Stamford, CT, US"/>
        <s v="New York, NY, US"/>
        <s v="Berkeley, CA, US"/>
        <s v="Menlo Park, CA, US"/>
        <s v="Boston, MA, US"/>
        <s v="San Francisco, CA, US"/>
        <s v="Charlotte, NC, US"/>
        <s v="Vancouver, BC, CA"/>
        <s v="Golden Valley, MN, US"/>
        <s v="New Brunswick, NJ, US"/>
        <s v="Baltimore, MD, US"/>
        <s v="Kista, SE"/>
        <s v="BS, CH"/>
        <s v="Toronto, ON, CA"/>
        <s v="Findlay, OH, US"/>
        <s v="Bengaluru, KA, IN"/>
        <s v="Kent, WA, US"/>
        <s v="Laurel, MD, US"/>
        <s v="Washington, DC, US"/>
        <s v="Seattle, WA, US"/>
        <s v="Manchester, GB"/>
        <s v="Cherry Hill, NJ, US"/>
        <s v="Foster City, CA, US"/>
        <s v="Chicago, IL, US"/>
        <s v="Cambridge, MA, US"/>
        <s v="Atlanta, GA, US"/>
        <s v="Phoenix, AZ, US"/>
        <s v="San Diego, CA, US"/>
        <s v="Cary, NC, US"/>
        <s v="Sunnyvale, CA, US"/>
        <s v="Calgary, AB, CA"/>
        <s v="Hook, GB"/>
        <s v="Cambridge, GB"/>
        <s v="Beaverton, OR, US"/>
        <s v="KÃ¸benhavn, DK"/>
        <s v="Mooresville, NC, US"/>
        <s v="Frankfurt am Main, HE, DE"/>
        <s v="Dearborn, MI, US"/>
        <s v="West Menlo Park, CA, US"/>
        <s v="TW"/>
        <s v="Denver, CO, US"/>
        <s v="Bethesda, MD, US"/>
        <s v="Mountain View, CA, US"/>
        <s v="Falls Church, VA, US"/>
        <s v="Roseville, CA, US"/>
        <s v="MÃ¼nchen, BY, DE"/>
        <s v="Veldhoven, NB, NL"/>
        <s v="Ingelheim am Rhein, RP, DE"/>
        <s v="Armonk, NY, US"/>
        <s v="Burlingame, CA, US"/>
        <s v="Newport Beach, CA, US"/>
        <s v="Torrance, CA, US"/>
        <s v="Collingwood, VIC, AU"/>
        <s v="Tallinn, EE"/>
        <s v="NY, US"/>
        <s v="Palo Alto, CA, US"/>
        <s v="Cincinnati, OH, US"/>
        <s v="Boise, ID, US"/>
        <s v="Amsterdam, NH, NL"/>
        <s v="Rochester, NY, US"/>
        <s v="North Chicago, IL, US"/>
        <s v="Kenilworth, NJ, US"/>
        <s v="Reston, VA, US"/>
        <s v="San Antonio, TX, US"/>
        <s v="Miami, FL, US"/>
        <s v="London, GB"/>
        <s v="Bowie, MD, US"/>
        <s v="Paris, FR"/>
        <s v="South Bend, IN, US"/>
        <s v="Fort Mill, SC, US"/>
        <s v="Lake Bluff, IL, US"/>
        <s v="Singapore, SG"/>
        <s v="Woonsocket, RI, US"/>
        <s v="Annapolis, MD, US"/>
        <s v="Rosemont, IL, US"/>
        <s v="Dartmouth, NS, CA"/>
        <s v="Bridgewater, NJ, US"/>
        <s v="Draper, UT, US"/>
        <s v="Irving, TX, US"/>
        <s v="Fulton, MD, US"/>
        <s v="Redmond, WA, US"/>
        <s v="Arlington, VA, US"/>
        <s v="Montreal, QC, CA"/>
        <s v="Austin, TX, US"/>
        <s v="Eden Prairie, MN, US"/>
        <s v="Roseland, NJ, US"/>
        <s v="Dallas, TX, US"/>
        <s v="Mumbai, MH, IN"/>
        <s v="Riverwoods, IL, US"/>
        <s v="South San Francisco, CA, US"/>
        <s v="Fairfax, VA, US"/>
        <s v="Edinburgh, GB"/>
        <s v="Deerfield, IL, US"/>
        <s v="Evanston, IL, US"/>
        <s v="Washington, US"/>
        <s v="Basking Ridge, NJ, US"/>
        <s v="Annapolis Junction, MD, US"/>
        <s v="Columbia, MD, US"/>
        <s v="Milano, IT"/>
        <s v="Irvine, CA, US"/>
        <s v="Bozeman, MT, US"/>
        <s v="Greenbelt, MD, US"/>
        <s v="Jacksonville, FL, US"/>
        <s v="McLean, VA, US"/>
        <s v="Northbrook, IL, US"/>
        <s v="Santa Monica, CA, US"/>
        <s v="Minneapolis, MN, US"/>
        <s v="Newton, MA, US"/>
        <s v="Cheyenne, WY, US"/>
        <s v="Englewood, CO, US"/>
        <s v="Catonsville, MD, US"/>
        <s v="Sacramento, CA, US"/>
        <s v="Dania Beach, FL, US"/>
        <s v="Teaneck, NJ, US"/>
        <s v="Los Alamos, NM, US"/>
        <s v="US"/>
        <s v="Kansas City, KS, US"/>
        <s v="Bellevue, WA, US"/>
        <s v="SÃ£o Paulo, SP, BR"/>
        <s v="Vienna, VA, US"/>
        <s v="Gaithersburg, MD, US"/>
        <s v="BagsvÃ¦rd, DK"/>
        <s v="Bloomington, IL, US"/>
        <s v="Indianapolis, IN, US"/>
        <s v="Santa Clara, CA, US"/>
        <s v="Cleveland, OH, US"/>
        <s v="CA"/>
        <s v="Philadelphia, PA, US"/>
        <s v="Rockville, MD, US"/>
        <s v="Pittsburgh, PA, US"/>
        <s v="Salt Lake City, UT, US"/>
        <s v="Yonkers, NY, US"/>
        <s v="Berlin, DE"/>
        <s v="Paris, IDF, FR"/>
        <s v="Brentford, GB"/>
        <s v="Coraopolis, PA, US"/>
        <s v="Sugar Land, TX, US"/>
        <s v="Huntsville, AL, US"/>
        <s v="SG"/>
        <s v="Herndon, VA, US"/>
        <s v="El Segundo, CA, US"/>
        <s v="Plano, TX, US"/>
        <s v="Green Bay, WI, US"/>
        <s v="Maplewood, MN, US"/>
        <s v="Fuschl am See, AT"/>
        <s v="Los Angeles, CA, US"/>
        <s v="Buffalo Grove, IL, US"/>
        <s v="Ann Arbor, MI, US"/>
        <s v="Columbus, OH, US"/>
        <s v="Roseburg, OR, US"/>
        <s v="Omaha, NE, US"/>
        <s v="Alameda, CA, US"/>
        <s v="Grand Rapids, MI, US"/>
        <s v="Chevy Chase, MD, US"/>
        <s v="OH, US"/>
        <s v="Birmingham, AL, US"/>
        <s v="Bedford, MA, US"/>
        <s v="Ventura, CA, US"/>
        <s v="Renton, WA, US"/>
        <s v="Altrincham, GB"/>
        <s v="Boulder, CO, US"/>
        <s v="Basel, BS, CH"/>
        <s v="Edison, NJ, US"/>
        <s v="Oklahoma City, OK, US"/>
        <s v="Brentwood, MO, US"/>
        <s v="Princeton, NJ, US"/>
        <s v="Walldorf, BW, DE"/>
        <s v="Minato City, JP"/>
        <s v="Benbrook, TX, US"/>
        <s v="Centreville, VA, US"/>
        <s v="Buffalo, NY, US"/>
        <s v="Milwaukee, WI, US"/>
        <s v="Scottsdale, AZ, US"/>
        <s v="Hartford, CT, US"/>
        <s v="Heerlen, LI, NL"/>
        <s v="Gainesville, FL, US"/>
        <s v="Dublin 2, IE"/>
        <s v="Barcelona, CT, ES"/>
        <s v="Dublin, IE"/>
        <s v="MontrÃ©al, QC, CA"/>
        <s v="Culver City, CA, US"/>
        <s v="CA, US"/>
        <s v="Westminster, CO, US"/>
        <s v="Purchase, NY, US"/>
        <s v="Miramar, FL, US"/>
        <s v="Pune, MH, IN"/>
        <s v="Readington Township, NJ, US"/>
        <s v="ZÃ¼rich, ZH, CH"/>
        <s v="Sydney, NSW, AU"/>
        <s v="Chennai, TN, IN"/>
        <s v="Malvern, PA, US"/>
        <s v="CN"/>
        <s v="Newtown, PA, US"/>
      </sharedItems>
    </cacheField>
    <cacheField name="industry" numFmtId="0">
      <sharedItems count="8">
        <s v="Retail"/>
        <s v="Manufacturing"/>
        <s v="Technology"/>
        <s v="Finance"/>
        <s v="Education"/>
        <s v="Healthcare"/>
        <s v="Energy"/>
        <s v="Logistics"/>
      </sharedItems>
    </cacheField>
    <cacheField name="ownership" numFmtId="0">
      <sharedItems/>
    </cacheField>
    <cacheField name="company_size" numFmtId="0">
      <sharedItems containsMixedTypes="1" containsNumber="1" containsInteger="1" minValue="5" maxValue="865476"/>
    </cacheField>
    <cacheField name="revenue" numFmtId="0">
      <sharedItems/>
    </cacheField>
    <cacheField name="salary" numFmtId="0">
      <sharedItems/>
    </cacheField>
    <cacheField name="skills" numFmtId="0">
      <sharedItems/>
    </cacheField>
    <cacheField name="days_ago" numFmtId="0">
      <sharedItems containsString="0" containsBlank="1" containsNumber="1" containsInteger="1" minValue="2" maxValue="25" count="25">
        <n v="17"/>
        <n v="15"/>
        <m/>
        <n v="8"/>
        <n v="3"/>
        <n v="9"/>
        <n v="6"/>
        <n v="19"/>
        <n v="14"/>
        <n v="13"/>
        <n v="7"/>
        <n v="25"/>
        <n v="20"/>
        <n v="2"/>
        <n v="12"/>
        <n v="5"/>
        <n v="4"/>
        <n v="11"/>
        <n v="21"/>
        <n v="10"/>
        <n v="22"/>
        <n v="16"/>
        <n v="23"/>
        <n v="18"/>
        <n v="24"/>
      </sharedItems>
    </cacheField>
    <cacheField name="salary_numeric" numFmtId="0">
      <sharedItems containsSemiMixedTypes="0" containsString="0" containsNumber="1" minValue="7055" maxValue="27399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1">
  <r>
    <x v="0"/>
    <x v="0"/>
    <s v="hybrid"/>
    <s v="company_003"/>
    <x v="0"/>
    <s v="17 days ago"/>
    <x v="0"/>
    <x v="0"/>
    <s v="Public"/>
    <s v="â‚¬352.44B"/>
    <s v="Public"/>
    <s v="â‚¬100,472 - â‚¬200,938"/>
    <s v="['spark', 'r', 'python', 'scala', 'machine learning', 'tensorflow']"/>
    <x v="0"/>
    <n v="150705"/>
  </r>
  <r>
    <x v="0"/>
    <x v="1"/>
    <s v="hybrid"/>
    <s v="company_005"/>
    <x v="1"/>
    <s v="15 days ago"/>
    <x v="1"/>
    <x v="1"/>
    <s v="Public"/>
    <n v="155030"/>
    <s v="â‚¬51.10B"/>
    <s v="â‚¬118,733"/>
    <s v="['spark', 'r', 'python', 'sql', 'machine learning']"/>
    <x v="1"/>
    <n v="118733"/>
  </r>
  <r>
    <x v="0"/>
    <x v="0"/>
    <s v="on-site"/>
    <s v="company_007"/>
    <x v="2"/>
    <s v="a month ago"/>
    <x v="2"/>
    <x v="2"/>
    <s v="Public"/>
    <n v="25930"/>
    <s v="â‚¬33.80B"/>
    <s v="â‚¬94,987 - â‚¬159,559"/>
    <s v="['aws', 'git', 'python', 'docker', 'sql', 'machine learning', 'gcp', 'kubernetes', 'deep learning']"/>
    <x v="2"/>
    <n v="127273"/>
  </r>
  <r>
    <x v="0"/>
    <x v="0"/>
    <s v="hybrid"/>
    <s v="company_008"/>
    <x v="3"/>
    <s v="8 days ago"/>
    <x v="3"/>
    <x v="2"/>
    <s v="Public"/>
    <n v="34690"/>
    <s v="â‚¬81.71B"/>
    <s v="â‚¬112,797 - â‚¬194,402"/>
    <s v="['sql', 'r', 'python']"/>
    <x v="3"/>
    <n v="153599.5"/>
  </r>
  <r>
    <x v="0"/>
    <x v="2"/>
    <s v="on-site"/>
    <s v="company_009"/>
    <x v="4"/>
    <s v="3 days ago"/>
    <x v="4"/>
    <x v="3"/>
    <s v="Private"/>
    <n v="1800"/>
    <s v="Private"/>
    <s v="â‚¬114,172 - â‚¬228,337"/>
    <s v="[]"/>
    <x v="4"/>
    <n v="171254.5"/>
  </r>
  <r>
    <x v="0"/>
    <x v="1"/>
    <s v="Unknown"/>
    <s v="company_013"/>
    <x v="5"/>
    <s v="3 months ago"/>
    <x v="5"/>
    <x v="2"/>
    <s v="Private"/>
    <n v="150"/>
    <s v="â‚¬2.16B"/>
    <s v="â‚¬196,371 - â‚¬251,170"/>
    <s v="['scikit-learn', 'python', 'scala', 'sql', 'machine learning', 'tensorflow']"/>
    <x v="4"/>
    <n v="223770.5"/>
  </r>
  <r>
    <x v="0"/>
    <x v="3"/>
    <s v="Unknown"/>
    <s v="company_014"/>
    <x v="6"/>
    <s v="15 days ago"/>
    <x v="6"/>
    <x v="4"/>
    <s v="Unknown"/>
    <n v="17471"/>
    <s v="Education"/>
    <s v="â‚¬51,330 - â‚¬70,144"/>
    <s v="[]"/>
    <x v="1"/>
    <n v="60737"/>
  </r>
  <r>
    <x v="1"/>
    <x v="0"/>
    <s v="on-site"/>
    <s v="company_015"/>
    <x v="7"/>
    <s v="9 days ago"/>
    <x v="7"/>
    <x v="2"/>
    <s v="Public"/>
    <n v="900"/>
    <s v="Public"/>
    <s v="â‚¬121,480 - â‚¬132,440"/>
    <s v="['machine learning']"/>
    <x v="5"/>
    <n v="126960"/>
  </r>
  <r>
    <x v="0"/>
    <x v="0"/>
    <s v="remote"/>
    <s v="company_019"/>
    <x v="8"/>
    <s v="6 days ago"/>
    <x v="8"/>
    <x v="2"/>
    <s v="Private"/>
    <n v="126"/>
    <s v="Private"/>
    <s v="â‚¬207,331"/>
    <s v="[]"/>
    <x v="6"/>
    <n v="207331"/>
  </r>
  <r>
    <x v="0"/>
    <x v="0"/>
    <s v="on-site"/>
    <s v="company_021"/>
    <x v="4"/>
    <s v="a day ago"/>
    <x v="9"/>
    <x v="2"/>
    <s v="Public"/>
    <n v="5520"/>
    <s v="â‚¬61.06B"/>
    <s v="â‚¬219,201"/>
    <s v="[]"/>
    <x v="2"/>
    <n v="219201"/>
  </r>
  <r>
    <x v="0"/>
    <x v="0"/>
    <s v="Unknown"/>
    <s v="company_022"/>
    <x v="9"/>
    <s v="15 days ago"/>
    <x v="10"/>
    <x v="2"/>
    <s v="Public"/>
    <n v="103010"/>
    <s v="â‚¬128.13B"/>
    <s v="â‚¬96,815"/>
    <s v="['pytorch', 'r', 'python', 'sql', 'machine learning', 'keras', 'deep learning', 'tensorflow']"/>
    <x v="1"/>
    <n v="96815"/>
  </r>
  <r>
    <x v="0"/>
    <x v="4"/>
    <s v="Unknown"/>
    <s v="company_027"/>
    <x v="10"/>
    <s v="6 days ago"/>
    <x v="11"/>
    <x v="4"/>
    <s v="Unknown"/>
    <n v="240"/>
    <s v="Education"/>
    <s v="â‚¬62,697 - â‚¬89,293"/>
    <s v="['java', 'git', 'python']"/>
    <x v="6"/>
    <n v="75995"/>
  </r>
  <r>
    <x v="0"/>
    <x v="0"/>
    <s v="remote"/>
    <s v="company_029"/>
    <x v="11"/>
    <s v="8 days ago"/>
    <x v="12"/>
    <x v="1"/>
    <s v="Public"/>
    <n v="21030"/>
    <s v="â‚¬43.18B"/>
    <s v="â‚¬99,464 - â‚¬165,954"/>
    <s v="['sql', 'machine learning', 'python']"/>
    <x v="3"/>
    <n v="132709"/>
  </r>
  <r>
    <x v="0"/>
    <x v="0"/>
    <s v="on-site"/>
    <s v="company_031"/>
    <x v="12"/>
    <s v="19 days ago"/>
    <x v="13"/>
    <x v="5"/>
    <s v="Public"/>
    <n v="128890"/>
    <s v="â‚¬413.02B"/>
    <s v="â‚¬112,343 - â‚¬117,823"/>
    <s v="['sql', 'machine learning', 'r', 'python']"/>
    <x v="7"/>
    <n v="115083"/>
  </r>
  <r>
    <x v="0"/>
    <x v="0"/>
    <s v="on-site"/>
    <s v="company_034"/>
    <x v="13"/>
    <s v="a month ago"/>
    <x v="14"/>
    <x v="2"/>
    <s v="Private"/>
    <n v="45"/>
    <s v="Private"/>
    <s v="â‚¬127,867 - â‚¬150,700"/>
    <s v="['pandas', 'powerbi', 'python', 'java', 'sql', 'machine learning', 'tableau']"/>
    <x v="2"/>
    <n v="139283.5"/>
  </r>
  <r>
    <x v="0"/>
    <x v="0"/>
    <s v="remote"/>
    <s v="company_037"/>
    <x v="8"/>
    <s v="14 days ago"/>
    <x v="9"/>
    <x v="3"/>
    <s v="Private"/>
    <n v="300"/>
    <s v="Private"/>
    <s v="â‚¬134,266"/>
    <s v="[]"/>
    <x v="8"/>
    <n v="134266"/>
  </r>
  <r>
    <x v="0"/>
    <x v="1"/>
    <s v="Unknown"/>
    <s v="company_038"/>
    <x v="14"/>
    <s v="6 days ago"/>
    <x v="15"/>
    <x v="2"/>
    <s v="Public"/>
    <n v="132000"/>
    <s v="â‚¬17.41B"/>
    <s v="â‚¬52,746"/>
    <s v="['spark', 'aws', 'r', 'python', 'machine learning', 'gcp', 'deep learning', 'hadoop', 'azure']"/>
    <x v="6"/>
    <n v="52746"/>
  </r>
  <r>
    <x v="0"/>
    <x v="1"/>
    <s v="on-site"/>
    <s v="company_039"/>
    <x v="15"/>
    <s v="8 days ago"/>
    <x v="9"/>
    <x v="3"/>
    <s v="Public"/>
    <n v="257150"/>
    <s v="â‚¬163.38B"/>
    <s v="â‚¬126,956 - â‚¬198,196"/>
    <s v="['aws', 'r', 'python', 'sql', 'machine learning', 'azure', 'tableau']"/>
    <x v="3"/>
    <n v="162576"/>
  </r>
  <r>
    <x v="0"/>
    <x v="0"/>
    <s v="remote"/>
    <s v="company_040"/>
    <x v="8"/>
    <s v="13 days ago"/>
    <x v="9"/>
    <x v="4"/>
    <s v="Private"/>
    <n v="130"/>
    <s v="â‚¬1.29B"/>
    <s v="â‚¬185,412 - â‚¬228,338"/>
    <s v="[]"/>
    <x v="9"/>
    <n v="206875"/>
  </r>
  <r>
    <x v="1"/>
    <x v="3"/>
    <s v="Unknown"/>
    <s v="company_041"/>
    <x v="16"/>
    <s v="19 days ago"/>
    <x v="16"/>
    <x v="5"/>
    <s v="Public"/>
    <n v="93580"/>
    <s v="â‚¬247.18B"/>
    <s v="â‚¬80,123"/>
    <s v="['pytorch', 'python', 'machine learning', 'deep learning', 'tensorflow']"/>
    <x v="7"/>
    <n v="80123"/>
  </r>
  <r>
    <x v="0"/>
    <x v="0"/>
    <s v="on-site"/>
    <s v="company_043"/>
    <x v="17"/>
    <s v="8 days ago"/>
    <x v="17"/>
    <x v="3"/>
    <s v="Public"/>
    <n v="44010"/>
    <s v="Public"/>
    <s v="â‚¬72,611"/>
    <s v="['pytorch', 'spark', 'git', 'r', 'python', 'sql', 'machine learning', 'tensorflow']"/>
    <x v="3"/>
    <n v="72611"/>
  </r>
  <r>
    <x v="0"/>
    <x v="0"/>
    <s v="on-site"/>
    <s v="company_044"/>
    <x v="18"/>
    <s v="8 days ago"/>
    <x v="18"/>
    <x v="6"/>
    <s v="Public"/>
    <n v="11610"/>
    <s v="â‚¬51.40B"/>
    <s v="â‚¬95,265 - â‚¬164,221"/>
    <s v="['pytorch', 'scikit-learn', 'python', 'machine learning', 'deep learning', 'tensorflow']"/>
    <x v="3"/>
    <n v="129743"/>
  </r>
  <r>
    <x v="0"/>
    <x v="0"/>
    <s v="on-site"/>
    <s v="company_045"/>
    <x v="19"/>
    <s v="6 days ago"/>
    <x v="17"/>
    <x v="2"/>
    <s v="Private"/>
    <n v="300"/>
    <s v="Private"/>
    <s v="â‚¬85,044"/>
    <s v="['airflow', 'spark', 'machine learning', 'python']"/>
    <x v="6"/>
    <n v="85044"/>
  </r>
  <r>
    <x v="0"/>
    <x v="0"/>
    <s v="Unknown"/>
    <s v="company_046"/>
    <x v="20"/>
    <s v="3 months ago"/>
    <x v="9"/>
    <x v="2"/>
    <s v="Private"/>
    <n v="100"/>
    <s v="â‚¬913.33M"/>
    <s v="â‚¬146,141 - â‚¬210,074"/>
    <s v="[]"/>
    <x v="4"/>
    <n v="178107.5"/>
  </r>
  <r>
    <x v="0"/>
    <x v="1"/>
    <s v="Unknown"/>
    <s v="company_047"/>
    <x v="14"/>
    <s v="a month ago"/>
    <x v="19"/>
    <x v="2"/>
    <s v="Public"/>
    <n v="222070"/>
    <s v="â‚¬24.36B"/>
    <s v="â‚¬10,049"/>
    <s v="['deep learning', 'machine learning']"/>
    <x v="2"/>
    <n v="10049"/>
  </r>
  <r>
    <x v="0"/>
    <x v="2"/>
    <s v="remote"/>
    <s v="company_048"/>
    <x v="21"/>
    <s v="3 months ago"/>
    <x v="9"/>
    <x v="2"/>
    <s v="Private"/>
    <n v="340"/>
    <s v="â‚¬1.49B"/>
    <s v="â‚¬91,335 - â‚¬109,601"/>
    <s v="[]"/>
    <x v="4"/>
    <n v="100468"/>
  </r>
  <r>
    <x v="0"/>
    <x v="0"/>
    <s v="Unknown"/>
    <s v="company_049"/>
    <x v="22"/>
    <s v="15 days ago"/>
    <x v="20"/>
    <x v="2"/>
    <s v="Private"/>
    <n v="3780"/>
    <s v="Private"/>
    <s v="â‚¬125,171 - â‚¬175,240"/>
    <s v="['aws', 'git', 'r', 'python', 'docker', 'machine learning', 'kubernetes', 'deep learning', 'azure']"/>
    <x v="1"/>
    <n v="150205.5"/>
  </r>
  <r>
    <x v="0"/>
    <x v="0"/>
    <s v="Unknown"/>
    <s v="company_050"/>
    <x v="20"/>
    <s v="8 days ago"/>
    <x v="9"/>
    <x v="4"/>
    <s v="Private"/>
    <n v="807"/>
    <s v="â‚¬3.45B"/>
    <s v="â‚¬150,707"/>
    <s v="['sql', 'machine learning', 'r', 'python']"/>
    <x v="3"/>
    <n v="150707"/>
  </r>
  <r>
    <x v="0"/>
    <x v="0"/>
    <s v="on-site"/>
    <s v="company_051"/>
    <x v="23"/>
    <s v="a month ago"/>
    <x v="21"/>
    <x v="2"/>
    <s v="Unknown"/>
    <n v="8010"/>
    <s v="Education"/>
    <s v="â‚¬210,071"/>
    <s v="['python']"/>
    <x v="2"/>
    <n v="210071"/>
  </r>
  <r>
    <x v="1"/>
    <x v="0"/>
    <s v="Unknown"/>
    <s v="company_052"/>
    <x v="24"/>
    <s v="a month ago"/>
    <x v="9"/>
    <x v="2"/>
    <s v="Public"/>
    <n v="26950"/>
    <s v="â‚¬53.20B"/>
    <s v="â‚¬72,515"/>
    <s v="['sql', 'machine learning', 'python']"/>
    <x v="2"/>
    <n v="72515"/>
  </r>
  <r>
    <x v="0"/>
    <x v="1"/>
    <s v="on-site"/>
    <s v="company_054"/>
    <x v="25"/>
    <s v="7 days ago"/>
    <x v="22"/>
    <x v="2"/>
    <s v="Public"/>
    <n v="4820"/>
    <s v="â‚¬29.92B"/>
    <s v="â‚¬112,288"/>
    <s v="['machine learning', 'python']"/>
    <x v="10"/>
    <n v="112288"/>
  </r>
  <r>
    <x v="0"/>
    <x v="1"/>
    <s v="hybrid"/>
    <s v="company_057"/>
    <x v="26"/>
    <s v="25 days ago"/>
    <x v="23"/>
    <x v="0"/>
    <s v="Public"/>
    <n v="157200"/>
    <s v="Public"/>
    <s v="â‚¬132,437"/>
    <s v="['r', 'python', 'sql', 'machine learning', 'tableau']"/>
    <x v="11"/>
    <n v="132437"/>
  </r>
  <r>
    <x v="0"/>
    <x v="0"/>
    <s v="hybrid"/>
    <s v="company_061"/>
    <x v="27"/>
    <s v="15 days ago"/>
    <x v="24"/>
    <x v="2"/>
    <s v="Public"/>
    <n v="1320"/>
    <s v="Public"/>
    <s v="â‚¬45,669 - â‚¬63,936"/>
    <s v="['spark', 'python', 'airflow', 'sql', 'machine learning']"/>
    <x v="1"/>
    <n v="54802.5"/>
  </r>
  <r>
    <x v="0"/>
    <x v="0"/>
    <s v="on-site"/>
    <s v="company_054"/>
    <x v="25"/>
    <s v="7 days ago"/>
    <x v="22"/>
    <x v="2"/>
    <s v="Public"/>
    <n v="4780"/>
    <s v="â‚¬30.07B"/>
    <s v="â‚¬112,291"/>
    <s v="['machine learning', 'python']"/>
    <x v="10"/>
    <n v="112291"/>
  </r>
  <r>
    <x v="0"/>
    <x v="0"/>
    <s v="on-site"/>
    <s v="company_065"/>
    <x v="19"/>
    <s v="3 days ago"/>
    <x v="25"/>
    <x v="2"/>
    <s v="Private"/>
    <n v="26070"/>
    <s v="Private"/>
    <s v="â‚¬83,298 - â‚¬124,946"/>
    <s v="['pandas', 'numpy', 'scikit-learn', 'python', 'sql', 'azure', 'tableau']"/>
    <x v="4"/>
    <n v="104122"/>
  </r>
  <r>
    <x v="0"/>
    <x v="0"/>
    <s v="hybrid"/>
    <s v="company_066"/>
    <x v="28"/>
    <s v="3 years ago"/>
    <x v="26"/>
    <x v="2"/>
    <s v="Private"/>
    <n v="1790"/>
    <s v="Private"/>
    <s v="â‚¬198,201 - â‚¬269,440"/>
    <s v="[]"/>
    <x v="4"/>
    <n v="233820.5"/>
  </r>
  <r>
    <x v="0"/>
    <x v="0"/>
    <s v="hybrid"/>
    <s v="company_067"/>
    <x v="29"/>
    <s v="19 days ago"/>
    <x v="9"/>
    <x v="2"/>
    <s v="Public"/>
    <n v="5260"/>
    <s v="â‚¬14.35B"/>
    <s v="â‚¬260,211"/>
    <s v="[]"/>
    <x v="7"/>
    <n v="260211"/>
  </r>
  <r>
    <x v="0"/>
    <x v="1"/>
    <s v="Unknown"/>
    <s v="company_069"/>
    <x v="30"/>
    <s v="a month ago"/>
    <x v="27"/>
    <x v="2"/>
    <s v="Private"/>
    <n v="210"/>
    <s v="Private"/>
    <s v="â‚¬114,355"/>
    <s v="['pytorch', 'spark', 'scikit-learn', 'python', 'neural network', 'machine learning', 'deep learning', 'tensorflow']"/>
    <x v="2"/>
    <n v="114355"/>
  </r>
  <r>
    <x v="0"/>
    <x v="4"/>
    <s v="on-site"/>
    <s v="company_071"/>
    <x v="31"/>
    <s v="15 days ago"/>
    <x v="28"/>
    <x v="2"/>
    <s v="Public"/>
    <n v="9070"/>
    <s v="Public"/>
    <s v="â‚¬144,311 - â‚¬198,198"/>
    <s v="['r', 'python', 'sql', 'machine learning', 'tableau']"/>
    <x v="1"/>
    <n v="171254.5"/>
  </r>
  <r>
    <x v="0"/>
    <x v="0"/>
    <s v="Unknown"/>
    <s v="company_075"/>
    <x v="9"/>
    <s v="20 days ago"/>
    <x v="29"/>
    <x v="2"/>
    <s v="Public"/>
    <n v="9030"/>
    <s v="â‚¬49.86B"/>
    <s v="â‚¬105,035"/>
    <s v="['sql', 'machine learning', 'tableau', 'python']"/>
    <x v="12"/>
    <n v="105035"/>
  </r>
  <r>
    <x v="0"/>
    <x v="0"/>
    <s v="remote"/>
    <s v="company_077"/>
    <x v="32"/>
    <s v="2 months ago"/>
    <x v="30"/>
    <x v="2"/>
    <s v="Private"/>
    <n v="60"/>
    <s v="Private"/>
    <s v="â‚¬155,272 - â‚¬164,406"/>
    <s v="['sql', 'machine learning', 'tableau', 'python']"/>
    <x v="13"/>
    <n v="159839"/>
  </r>
  <r>
    <x v="0"/>
    <x v="0"/>
    <s v="on-site"/>
    <s v="company_078"/>
    <x v="33"/>
    <s v="9 days ago"/>
    <x v="31"/>
    <x v="2"/>
    <s v="Public"/>
    <n v="41020"/>
    <s v="â‚¬111.15B"/>
    <s v="â‚¬140,661"/>
    <s v="['pytorch', 'python', 'docker', 'sql', 'neural network', 'kubernetes', 'tensorflow']"/>
    <x v="5"/>
    <n v="140661"/>
  </r>
  <r>
    <x v="0"/>
    <x v="0"/>
    <s v="hybrid"/>
    <s v="company_080"/>
    <x v="34"/>
    <s v="8 days ago"/>
    <x v="17"/>
    <x v="3"/>
    <s v="Public"/>
    <n v="26040"/>
    <s v="Public"/>
    <s v="â‚¬73,739"/>
    <s v="['machine learning', 'r', 'python']"/>
    <x v="3"/>
    <n v="73739"/>
  </r>
  <r>
    <x v="0"/>
    <x v="0"/>
    <s v="hybrid"/>
    <s v="company_081"/>
    <x v="35"/>
    <s v="6 days ago"/>
    <x v="9"/>
    <x v="2"/>
    <s v="Public"/>
    <n v="5050"/>
    <s v="â‚¬4.67B"/>
    <s v="â‚¬135,178 - â‚¬168,971"/>
    <s v="[]"/>
    <x v="6"/>
    <n v="152074.5"/>
  </r>
  <r>
    <x v="0"/>
    <x v="0"/>
    <s v="on-site"/>
    <s v="company_084"/>
    <x v="4"/>
    <s v="14 days ago"/>
    <x v="32"/>
    <x v="2"/>
    <s v="Private"/>
    <n v="990"/>
    <s v="â‚¬29.17B"/>
    <s v="â‚¬228,515"/>
    <s v="[]"/>
    <x v="8"/>
    <n v="228515"/>
  </r>
  <r>
    <x v="0"/>
    <x v="0"/>
    <s v="Unknown"/>
    <s v="company_089"/>
    <x v="5"/>
    <s v="8 days ago"/>
    <x v="22"/>
    <x v="3"/>
    <s v="Public"/>
    <n v="2290"/>
    <s v="Public"/>
    <s v="â‚¬137,007 - â‚¬159,840"/>
    <s v="['aws', 'git', 'python', 'sql', 'machine learning']"/>
    <x v="3"/>
    <n v="148423.5"/>
  </r>
  <r>
    <x v="1"/>
    <x v="0"/>
    <s v="Unknown"/>
    <s v="company_049"/>
    <x v="36"/>
    <s v="15 days ago"/>
    <x v="20"/>
    <x v="2"/>
    <s v="Private"/>
    <n v="3810"/>
    <s v="Private"/>
    <s v="â‚¬162,184 - â‚¬227,055"/>
    <s v="['pandas', 'pytorch', 'aws', 'python', 'docker', 'machine learning', 'kubernetes', 'deep learning', 'azure', 'tensorflow']"/>
    <x v="1"/>
    <n v="194619.5"/>
  </r>
  <r>
    <x v="0"/>
    <x v="0"/>
    <s v="hybrid"/>
    <s v="company_092"/>
    <x v="37"/>
    <s v="8 days ago"/>
    <x v="17"/>
    <x v="2"/>
    <s v="Public"/>
    <n v="24040"/>
    <s v="Public"/>
    <s v="â‚¬92,833 - â‚¬172,402"/>
    <s v="['java', 'machine learning', 'r', 'python']"/>
    <x v="3"/>
    <n v="132617.5"/>
  </r>
  <r>
    <x v="0"/>
    <x v="1"/>
    <s v="on-site"/>
    <s v="company_093"/>
    <x v="38"/>
    <s v="12 days ago"/>
    <x v="23"/>
    <x v="2"/>
    <s v="Private"/>
    <n v="46"/>
    <s v="Private"/>
    <s v="â‚¬210,070 - â‚¬228,336"/>
    <s v="[]"/>
    <x v="14"/>
    <n v="219203"/>
  </r>
  <r>
    <x v="0"/>
    <x v="0"/>
    <s v="Unknown"/>
    <s v="company_094"/>
    <x v="39"/>
    <s v="3 months ago"/>
    <x v="23"/>
    <x v="2"/>
    <s v="Private"/>
    <n v="330"/>
    <s v="â‚¬913.33M"/>
    <s v="â‚¬67,594 - â‚¬86,774"/>
    <s v="['pandas', 'pytorch', 'r', 'python', 'machine learning', 'tensorflow']"/>
    <x v="4"/>
    <n v="77184"/>
  </r>
  <r>
    <x v="0"/>
    <x v="0"/>
    <s v="on-site"/>
    <s v="company_095"/>
    <x v="4"/>
    <s v="3 months ago"/>
    <x v="33"/>
    <x v="2"/>
    <s v="Private"/>
    <n v="5"/>
    <s v="Private"/>
    <s v="â‚¬123,307 - â‚¬191,806"/>
    <s v="[]"/>
    <x v="4"/>
    <n v="157556.5"/>
  </r>
  <r>
    <x v="0"/>
    <x v="0"/>
    <s v="on-site"/>
    <s v="company_096"/>
    <x v="40"/>
    <s v="20 days ago"/>
    <x v="9"/>
    <x v="3"/>
    <s v="Private"/>
    <n v="950"/>
    <s v="â‚¬11.43B"/>
    <s v="â‚¬219,199 - â‚¬273,999"/>
    <s v="[]"/>
    <x v="12"/>
    <n v="246599"/>
  </r>
  <r>
    <x v="0"/>
    <x v="2"/>
    <s v="Unknown"/>
    <s v="company_098"/>
    <x v="41"/>
    <s v="5 months ago"/>
    <x v="19"/>
    <x v="2"/>
    <s v="Private"/>
    <n v="750"/>
    <s v="â‚¬4.93B"/>
    <s v="â‚¬41,302"/>
    <s v="[]"/>
    <x v="15"/>
    <n v="41302"/>
  </r>
  <r>
    <x v="0"/>
    <x v="0"/>
    <s v="hybrid"/>
    <s v="company_099"/>
    <x v="42"/>
    <s v="7 days ago"/>
    <x v="34"/>
    <x v="2"/>
    <s v="Public"/>
    <n v="23860"/>
    <s v="â‚¬27.92B"/>
    <s v="â‚¬75,128 - â‚¬79,194"/>
    <s v="['sql', 'tableau', 'python']"/>
    <x v="10"/>
    <n v="77161"/>
  </r>
  <r>
    <x v="0"/>
    <x v="0"/>
    <s v="on-site"/>
    <s v="company_100"/>
    <x v="43"/>
    <s v="3 months ago"/>
    <x v="35"/>
    <x v="2"/>
    <s v="Public"/>
    <n v="28840"/>
    <s v="Public"/>
    <s v="â‚¬77,667 - â‚¬129,442"/>
    <s v="['scikit-learn', 'r', 'python', 'java', 'machine learning']"/>
    <x v="4"/>
    <n v="103554.5"/>
  </r>
  <r>
    <x v="0"/>
    <x v="4"/>
    <s v="Unknown"/>
    <s v="company_101"/>
    <x v="44"/>
    <s v="8 days ago"/>
    <x v="36"/>
    <x v="4"/>
    <s v="Unknown"/>
    <n v="10933"/>
    <s v="Education"/>
    <s v="â‚¬31,175"/>
    <s v="[]"/>
    <x v="3"/>
    <n v="31175"/>
  </r>
  <r>
    <x v="0"/>
    <x v="4"/>
    <s v="remote"/>
    <s v="company_103"/>
    <x v="45"/>
    <s v="4 days ago"/>
    <x v="37"/>
    <x v="1"/>
    <s v="Public"/>
    <n v="99620"/>
    <s v="â‚¬133.03B"/>
    <s v="â‚¬19,420 - â‚¬98,368"/>
    <s v="['pandas', 'powerbi', 'r', 'python', 'sql', 'neural network', 'machine learning', 'deep learning', 'tableau']"/>
    <x v="16"/>
    <n v="58894"/>
  </r>
  <r>
    <x v="1"/>
    <x v="0"/>
    <s v="Unknown"/>
    <s v="company_106"/>
    <x v="46"/>
    <s v="4 days ago"/>
    <x v="38"/>
    <x v="7"/>
    <s v="Private"/>
    <n v="38090"/>
    <s v="â‚¬34.17B"/>
    <s v="â‚¬26,757"/>
    <s v="['spark', 'aws', 'powerbi', 'python', 'docker', 'sql', 'machine learning', 'gcp', 'kubernetes', 'deep learning', 'azure']"/>
    <x v="16"/>
    <n v="26757"/>
  </r>
  <r>
    <x v="0"/>
    <x v="0"/>
    <s v="Unknown"/>
    <s v="company_089"/>
    <x v="47"/>
    <s v="8 days ago"/>
    <x v="22"/>
    <x v="3"/>
    <s v="Public"/>
    <n v="2300"/>
    <s v="Public"/>
    <s v="â‚¬137,005 - â‚¬159,838"/>
    <s v="['aws', 'git', 'python', 'sql', 'machine learning']"/>
    <x v="3"/>
    <n v="148421.5"/>
  </r>
  <r>
    <x v="0"/>
    <x v="0"/>
    <s v="on-site"/>
    <s v="company_112"/>
    <x v="40"/>
    <s v="a month ago"/>
    <x v="9"/>
    <x v="2"/>
    <s v="Private"/>
    <n v="420"/>
    <s v="â‚¬5.10B"/>
    <s v="â‚¬148,808"/>
    <s v="[]"/>
    <x v="2"/>
    <n v="148808"/>
  </r>
  <r>
    <x v="0"/>
    <x v="1"/>
    <s v="on-site"/>
    <s v="company_113"/>
    <x v="48"/>
    <s v="8 days ago"/>
    <x v="39"/>
    <x v="0"/>
    <s v="Public"/>
    <n v="118910"/>
    <s v="Public"/>
    <s v="â‚¬101,935 - â‚¬193,633"/>
    <s v="['sql', 'deep learning', 'machine learning']"/>
    <x v="3"/>
    <n v="147784"/>
  </r>
  <r>
    <x v="0"/>
    <x v="0"/>
    <s v="hybrid"/>
    <s v="company_115"/>
    <x v="49"/>
    <s v="a month ago"/>
    <x v="40"/>
    <x v="3"/>
    <s v="Public"/>
    <n v="68400"/>
    <s v="Public"/>
    <s v="â‚¬24,205"/>
    <s v="['pytorch', 'aws', 'python', 'sql', 'gcp', 'azure', 'tensorflow']"/>
    <x v="2"/>
    <n v="24205"/>
  </r>
  <r>
    <x v="0"/>
    <x v="0"/>
    <s v="Unknown"/>
    <s v="company_116"/>
    <x v="50"/>
    <s v="2 days ago"/>
    <x v="41"/>
    <x v="2"/>
    <s v="Public"/>
    <n v="187540"/>
    <s v="â‚¬51.93B"/>
    <s v="â‚¬13,886"/>
    <s v="['pandas', 'numpy', 'pytorch', 'powerbi', 'git', 'scikit-learn', 'python', 'java', 'sql', 'neural network', 'gcp', 'machine learning', 'matplotlib', 'tensorflow']"/>
    <x v="13"/>
    <n v="13886"/>
  </r>
  <r>
    <x v="0"/>
    <x v="0"/>
    <s v="on-site"/>
    <s v="company_119"/>
    <x v="51"/>
    <s v="15 days ago"/>
    <x v="42"/>
    <x v="3"/>
    <s v="Public"/>
    <n v="3810"/>
    <s v="â‚¬7.94B"/>
    <s v="â‚¬163,491 - â‚¬191,804"/>
    <s v="[]"/>
    <x v="1"/>
    <n v="177647.5"/>
  </r>
  <r>
    <x v="0"/>
    <x v="4"/>
    <s v="Unknown"/>
    <s v="company_014"/>
    <x v="6"/>
    <s v="15 days ago"/>
    <x v="6"/>
    <x v="4"/>
    <s v="Unknown"/>
    <n v="17451"/>
    <s v="Education"/>
    <s v="â‚¬82,193 - â‚¬122,141"/>
    <s v="['machine learning', 'database']"/>
    <x v="1"/>
    <n v="102167"/>
  </r>
  <r>
    <x v="0"/>
    <x v="0"/>
    <s v="remote"/>
    <s v="company_121"/>
    <x v="52"/>
    <s v="a month ago"/>
    <x v="9"/>
    <x v="2"/>
    <s v="Private"/>
    <n v="1290"/>
    <s v="â‚¬3.17B"/>
    <s v="â‚¬134,541 - â‚¬174,088"/>
    <s v="[]"/>
    <x v="2"/>
    <n v="154314.5"/>
  </r>
  <r>
    <x v="0"/>
    <x v="0"/>
    <s v="on-site"/>
    <s v="company_100"/>
    <x v="43"/>
    <s v="3 months ago"/>
    <x v="35"/>
    <x v="2"/>
    <s v="Public"/>
    <n v="28810"/>
    <s v="Public"/>
    <s v="â‚¬77,671 - â‚¬129,446"/>
    <s v="['scikit-learn', 'r', 'python', 'java', 'machine learning']"/>
    <x v="4"/>
    <n v="103558.5"/>
  </r>
  <r>
    <x v="0"/>
    <x v="0"/>
    <s v="remote"/>
    <s v="company_067"/>
    <x v="53"/>
    <s v="4 days ago"/>
    <x v="9"/>
    <x v="2"/>
    <s v="Public"/>
    <n v="5320"/>
    <s v="â‚¬14.20B"/>
    <s v="â‚¬306,623"/>
    <s v="[]"/>
    <x v="16"/>
    <n v="306623"/>
  </r>
  <r>
    <x v="0"/>
    <x v="0"/>
    <s v="Unknown"/>
    <s v="company_126"/>
    <x v="30"/>
    <s v="15 days ago"/>
    <x v="9"/>
    <x v="3"/>
    <s v="Private"/>
    <n v="30"/>
    <s v="Private"/>
    <s v="â‚¬28,501"/>
    <s v="[]"/>
    <x v="1"/>
    <n v="28501"/>
  </r>
  <r>
    <x v="0"/>
    <x v="0"/>
    <s v="remote"/>
    <s v="company_021"/>
    <x v="8"/>
    <s v="a day ago"/>
    <x v="9"/>
    <x v="2"/>
    <s v="Public"/>
    <n v="5550"/>
    <s v="â‚¬60.91B"/>
    <s v="â‚¬255,732"/>
    <s v="[]"/>
    <x v="2"/>
    <n v="255732"/>
  </r>
  <r>
    <x v="0"/>
    <x v="2"/>
    <s v="remote"/>
    <s v="company_129"/>
    <x v="8"/>
    <s v="8 days ago"/>
    <x v="5"/>
    <x v="3"/>
    <s v="Private"/>
    <n v="45"/>
    <s v="Private"/>
    <s v="â‚¬91,335 - â‚¬228,333"/>
    <s v="[]"/>
    <x v="3"/>
    <n v="159834"/>
  </r>
  <r>
    <x v="0"/>
    <x v="0"/>
    <s v="Unknown"/>
    <s v="company_022"/>
    <x v="54"/>
    <s v="7 days ago"/>
    <x v="10"/>
    <x v="2"/>
    <s v="Public"/>
    <n v="103070"/>
    <s v="â‚¬128.23B"/>
    <s v="â‚¬96,819"/>
    <s v="['python', 'java', 'sql', 'kubernetes', 'azure']"/>
    <x v="10"/>
    <n v="96819"/>
  </r>
  <r>
    <x v="0"/>
    <x v="0"/>
    <s v="on-site"/>
    <s v="company_134"/>
    <x v="55"/>
    <s v="a month ago"/>
    <x v="23"/>
    <x v="0"/>
    <s v="Public"/>
    <n v="865416"/>
    <s v="â‚¬832.86B"/>
    <s v="â‚¬219,201"/>
    <s v="['amazon', 'r', 'python', 'machine learning', 'deep learning']"/>
    <x v="2"/>
    <n v="219201"/>
  </r>
  <r>
    <x v="1"/>
    <x v="2"/>
    <s v="on-site"/>
    <s v="company_135"/>
    <x v="56"/>
    <s v="a day ago"/>
    <x v="43"/>
    <x v="2"/>
    <s v="Private"/>
    <n v="530"/>
    <s v="Private"/>
    <s v="â‚¬36,340"/>
    <s v="[]"/>
    <x v="2"/>
    <n v="36340"/>
  </r>
  <r>
    <x v="0"/>
    <x v="0"/>
    <s v="hybrid"/>
    <s v="company_137"/>
    <x v="57"/>
    <s v="a month ago"/>
    <x v="44"/>
    <x v="2"/>
    <s v="Private"/>
    <n v="900"/>
    <s v="â‚¬913.33M"/>
    <s v="â‚¬138,833"/>
    <s v="['spark', 'r', 'python', 'database', 'machine learning']"/>
    <x v="2"/>
    <n v="138833"/>
  </r>
  <r>
    <x v="0"/>
    <x v="0"/>
    <s v="remote"/>
    <s v="company_141"/>
    <x v="58"/>
    <s v="a month ago"/>
    <x v="45"/>
    <x v="2"/>
    <s v="Public"/>
    <n v="108670"/>
    <s v="â‚¬116.78B"/>
    <s v="â‚¬100,470 - â‚¬132,436"/>
    <s v="['machine learning']"/>
    <x v="2"/>
    <n v="116453"/>
  </r>
  <r>
    <x v="0"/>
    <x v="0"/>
    <s v="hybrid"/>
    <s v="company_145"/>
    <x v="59"/>
    <s v="a day ago"/>
    <x v="3"/>
    <x v="2"/>
    <s v="Public"/>
    <n v="2760"/>
    <s v="Public"/>
    <s v="â‚¬200,936"/>
    <s v="[]"/>
    <x v="2"/>
    <n v="200936"/>
  </r>
  <r>
    <x v="0"/>
    <x v="0"/>
    <s v="hybrid"/>
    <s v="company_146"/>
    <x v="60"/>
    <s v="11 days ago"/>
    <x v="9"/>
    <x v="3"/>
    <s v="Private"/>
    <n v="780"/>
    <s v="â‚¬11.80B"/>
    <s v="â‚¬153,442 - â‚¬210,981"/>
    <s v="[]"/>
    <x v="17"/>
    <n v="182211.5"/>
  </r>
  <r>
    <x v="0"/>
    <x v="0"/>
    <s v="Unknown"/>
    <s v="company_148"/>
    <x v="61"/>
    <s v="5 days ago"/>
    <x v="10"/>
    <x v="3"/>
    <s v="Public"/>
    <n v="14090"/>
    <s v="â‚¬55.90B"/>
    <s v="â‚¬88,185"/>
    <s v="['spark', 'r', 'python', 'sql', 'hadoop', 'machine learning']"/>
    <x v="15"/>
    <n v="88185"/>
  </r>
  <r>
    <x v="0"/>
    <x v="0"/>
    <s v="on-site"/>
    <s v="company_153"/>
    <x v="30"/>
    <s v="15 days ago"/>
    <x v="3"/>
    <x v="2"/>
    <s v="Private"/>
    <n v="900"/>
    <s v="Private"/>
    <s v="â‚¬203,676 - â‚¬253,909"/>
    <s v="['pytorch', 'spark', 'aws', 'scikit-learn', 'python', 'docker', 'deep learning', 'java', 'sql', 'machine learning', 'gcp', 'kubernetes', 'hadoop', 'azure', 'tensorflow']"/>
    <x v="1"/>
    <n v="228792.5"/>
  </r>
  <r>
    <x v="0"/>
    <x v="1"/>
    <s v="remote"/>
    <s v="company_155"/>
    <x v="62"/>
    <s v="15 days ago"/>
    <x v="27"/>
    <x v="2"/>
    <s v="Public"/>
    <n v="2570"/>
    <s v="Public"/>
    <s v="â‚¬146,133 - â‚¬182,666"/>
    <s v="['aws', 'scikit-learn', 'python', 'sql', 'machine learning', 'tensorflow']"/>
    <x v="1"/>
    <n v="164399.5"/>
  </r>
  <r>
    <x v="1"/>
    <x v="2"/>
    <s v="on-site"/>
    <s v="company_156"/>
    <x v="63"/>
    <s v="8 days ago"/>
    <x v="46"/>
    <x v="2"/>
    <s v="Private"/>
    <n v="900"/>
    <s v="â‚¬8.10B"/>
    <s v="â‚¬138,826 - â‚¬208,239"/>
    <s v="[]"/>
    <x v="3"/>
    <n v="173532.5"/>
  </r>
  <r>
    <x v="0"/>
    <x v="0"/>
    <s v="on-site"/>
    <s v="company_158"/>
    <x v="64"/>
    <s v="4 days ago"/>
    <x v="47"/>
    <x v="2"/>
    <s v="Private"/>
    <n v="21690"/>
    <s v="Private"/>
    <s v="â‚¬167,600 - â‚¬225,989"/>
    <s v="['aws', 'git', 'python', 'java', 'kubernetes', 'machine learning']"/>
    <x v="16"/>
    <n v="196794.5"/>
  </r>
  <r>
    <x v="0"/>
    <x v="0"/>
    <s v="remote"/>
    <s v="company_159"/>
    <x v="8"/>
    <s v="2 months ago"/>
    <x v="48"/>
    <x v="2"/>
    <s v="Private"/>
    <n v="900"/>
    <s v="â‚¬11.41B"/>
    <s v="â‚¬133,351 - â‚¬155,271"/>
    <s v="[]"/>
    <x v="13"/>
    <n v="144311"/>
  </r>
  <r>
    <x v="0"/>
    <x v="0"/>
    <s v="hybrid"/>
    <s v="company_164"/>
    <x v="65"/>
    <s v="2 months ago"/>
    <x v="49"/>
    <x v="2"/>
    <s v="Private"/>
    <n v="2010"/>
    <s v="â‚¬12.32B"/>
    <s v="â‚¬149,786 - â‚¬195,453"/>
    <s v="[]"/>
    <x v="13"/>
    <n v="172619.5"/>
  </r>
  <r>
    <x v="0"/>
    <x v="0"/>
    <s v="on-site"/>
    <s v="company_166"/>
    <x v="66"/>
    <s v="21 days ago"/>
    <x v="50"/>
    <x v="2"/>
    <s v="Public"/>
    <n v="24780"/>
    <s v="â‚¬173.21B"/>
    <s v="â‚¬82,371"/>
    <s v="['r']"/>
    <x v="18"/>
    <n v="82371"/>
  </r>
  <r>
    <x v="0"/>
    <x v="0"/>
    <s v="remote"/>
    <s v="company_169"/>
    <x v="8"/>
    <s v="4 days ago"/>
    <x v="9"/>
    <x v="2"/>
    <s v="Public"/>
    <n v="4080"/>
    <s v="â‚¬7.84B"/>
    <s v="â‚¬224,774"/>
    <s v="[]"/>
    <x v="16"/>
    <n v="224774"/>
  </r>
  <r>
    <x v="0"/>
    <x v="0"/>
    <s v="Unknown"/>
    <s v="company_170"/>
    <x v="67"/>
    <s v="10 days ago"/>
    <x v="51"/>
    <x v="2"/>
    <s v="Public"/>
    <n v="52060"/>
    <s v="Public"/>
    <s v="â‚¬127,874 - â‚¬202,766"/>
    <s v="['pytorch', 'git', 'scikit-learn', 'python', 'docker', 'kubernetes', 'machine learning', 'tensorflow']"/>
    <x v="19"/>
    <n v="165320"/>
  </r>
  <r>
    <x v="0"/>
    <x v="0"/>
    <s v="Unknown"/>
    <s v="company_171"/>
    <x v="46"/>
    <s v="15 days ago"/>
    <x v="52"/>
    <x v="2"/>
    <s v="Public"/>
    <n v="524608"/>
    <s v="â‚¬119.43B"/>
    <s v="â‚¬27,274 - â‚¬52,695"/>
    <s v="['pandas', 'pytorch', 'r', 'python', 'java', 'database', 'keras', 'machine learning', 'matplotlib', 'tensorflow']"/>
    <x v="1"/>
    <n v="39984.5"/>
  </r>
  <r>
    <x v="0"/>
    <x v="2"/>
    <s v="on-site"/>
    <s v="company_173"/>
    <x v="68"/>
    <s v="a month ago"/>
    <x v="53"/>
    <x v="2"/>
    <s v="Private"/>
    <n v="126"/>
    <s v="Private"/>
    <s v="â‚¬109,602 - â‚¬123,302"/>
    <s v="[]"/>
    <x v="2"/>
    <n v="116452"/>
  </r>
  <r>
    <x v="0"/>
    <x v="0"/>
    <s v="on-site"/>
    <s v="company_176"/>
    <x v="4"/>
    <s v="11 days ago"/>
    <x v="46"/>
    <x v="2"/>
    <s v="Public"/>
    <n v="2790"/>
    <s v="Public"/>
    <s v="â‚¬117,189 - â‚¬185,414"/>
    <s v="[]"/>
    <x v="17"/>
    <n v="151301.5"/>
  </r>
  <r>
    <x v="0"/>
    <x v="0"/>
    <s v="on-site"/>
    <s v="company_177"/>
    <x v="69"/>
    <s v="a month ago"/>
    <x v="54"/>
    <x v="3"/>
    <s v="Public"/>
    <n v="4010"/>
    <s v="Public"/>
    <s v="â‚¬149,445 - â‚¬182,654"/>
    <s v="['scikit-learn', 'python', 'sql', 'machine learning', 'tensorflow']"/>
    <x v="2"/>
    <n v="166049.5"/>
  </r>
  <r>
    <x v="0"/>
    <x v="0"/>
    <s v="on-site"/>
    <s v="company_178"/>
    <x v="70"/>
    <s v="3 days ago"/>
    <x v="55"/>
    <x v="2"/>
    <s v="Public"/>
    <n v="10100"/>
    <s v="â‚¬36.69B"/>
    <s v="â‚¬63,942"/>
    <s v="['spark', 'r', 'python', 'hadoop', 'machine learning']"/>
    <x v="4"/>
    <n v="63942"/>
  </r>
  <r>
    <x v="0"/>
    <x v="0"/>
    <s v="hybrid"/>
    <s v="company_179"/>
    <x v="71"/>
    <s v="20 days ago"/>
    <x v="56"/>
    <x v="2"/>
    <s v="Private"/>
    <n v="150"/>
    <s v="â‚¬1.44B"/>
    <s v="â‚¬182,668 - â‚¬214,634"/>
    <s v="['amazon']"/>
    <x v="12"/>
    <n v="198651"/>
  </r>
  <r>
    <x v="0"/>
    <x v="4"/>
    <s v="remote"/>
    <s v="company_181"/>
    <x v="20"/>
    <s v="8 days ago"/>
    <x v="9"/>
    <x v="2"/>
    <s v="Public"/>
    <n v="1290"/>
    <s v="Public"/>
    <s v="â‚¬90,877 - â‚¬141,566"/>
    <s v="['tableau', 'sql', 'r', 'python']"/>
    <x v="3"/>
    <n v="116221.5"/>
  </r>
  <r>
    <x v="0"/>
    <x v="0"/>
    <s v="hybrid"/>
    <s v="company_182"/>
    <x v="72"/>
    <s v="a month ago"/>
    <x v="27"/>
    <x v="3"/>
    <s v="Public"/>
    <n v="9920"/>
    <s v="Public"/>
    <s v="â‚¬15,542"/>
    <s v="['pandas', 'numpy', 'pytorch', 'scikit-learn', 'python', 'docker', 'scipy', 'sql', 'machine learning', 'deep learning', 'matplotlib', 'tensorflow']"/>
    <x v="2"/>
    <n v="15542"/>
  </r>
  <r>
    <x v="0"/>
    <x v="0"/>
    <s v="hybrid"/>
    <s v="company_183"/>
    <x v="73"/>
    <s v="15 days ago"/>
    <x v="57"/>
    <x v="2"/>
    <s v="Private"/>
    <n v="3770"/>
    <s v="Private"/>
    <s v="â‚¬61,772"/>
    <s v="['pandas', 'numpy', 'spark', 'aws', 'scikit-learn', 'python', 'docker', 'airflow', 'sql', 'machine learning', 'deep learning']"/>
    <x v="1"/>
    <n v="61772"/>
  </r>
  <r>
    <x v="0"/>
    <x v="0"/>
    <s v="on-site"/>
    <s v="company_184"/>
    <x v="5"/>
    <s v="8 days ago"/>
    <x v="5"/>
    <x v="0"/>
    <s v="Public"/>
    <n v="130040"/>
    <s v="â‚¬5.18B"/>
    <s v="â‚¬137,004"/>
    <s v="['machine learning']"/>
    <x v="3"/>
    <n v="137004"/>
  </r>
  <r>
    <x v="0"/>
    <x v="0"/>
    <s v="Unknown"/>
    <s v="company_185"/>
    <x v="74"/>
    <s v="2 months ago"/>
    <x v="47"/>
    <x v="2"/>
    <s v="Public"/>
    <n v="97010"/>
    <s v="â‚¬75.00B"/>
    <s v="â‚¬171,892 - â‚¬257,744"/>
    <s v="['pytorch', 'git', 'python', 'machine learning', 'keras', 'deep learning', 'tensorflow']"/>
    <x v="13"/>
    <n v="214818"/>
  </r>
  <r>
    <x v="0"/>
    <x v="0"/>
    <s v="hybrid"/>
    <s v="company_186"/>
    <x v="35"/>
    <s v="8 days ago"/>
    <x v="5"/>
    <x v="2"/>
    <s v="Public"/>
    <n v="830"/>
    <s v="â‚¬14.48B"/>
    <s v="â‚¬45,674 - â‚¬105,040"/>
    <s v="['database', 'sql', 'aws', 'python']"/>
    <x v="3"/>
    <n v="75357"/>
  </r>
  <r>
    <x v="0"/>
    <x v="4"/>
    <s v="Unknown"/>
    <s v="company_192"/>
    <x v="30"/>
    <s v="a month ago"/>
    <x v="58"/>
    <x v="2"/>
    <s v="Private"/>
    <n v="15"/>
    <s v="Private"/>
    <s v="â‚¬137,007 - â‚¬164,407"/>
    <s v="['amazon', 'spark', 'python', 'airflow', 'machine learning']"/>
    <x v="2"/>
    <n v="150707"/>
  </r>
  <r>
    <x v="0"/>
    <x v="0"/>
    <s v="on-site"/>
    <s v="company_193"/>
    <x v="75"/>
    <s v="3 days ago"/>
    <x v="30"/>
    <x v="6"/>
    <s v="Public"/>
    <n v="35020"/>
    <s v="â‚¬37.86B"/>
    <s v="â‚¬82,201"/>
    <s v="['powerbi', 'aws', 'r', 'python', 'sql', 'machine learning']"/>
    <x v="4"/>
    <n v="82201"/>
  </r>
  <r>
    <x v="0"/>
    <x v="2"/>
    <s v="hybrid"/>
    <s v="company_196"/>
    <x v="76"/>
    <s v="7 months ago"/>
    <x v="9"/>
    <x v="3"/>
    <s v="Private"/>
    <n v="890"/>
    <s v="â‚¬12.43B"/>
    <s v="â‚¬158,920 - â‚¬237,831"/>
    <s v="[]"/>
    <x v="10"/>
    <n v="198375.5"/>
  </r>
  <r>
    <x v="0"/>
    <x v="2"/>
    <s v="on-site"/>
    <s v="company_197"/>
    <x v="77"/>
    <s v="22 days ago"/>
    <x v="59"/>
    <x v="2"/>
    <s v="Private"/>
    <n v="180"/>
    <s v="â‚¬913.33M"/>
    <s v="â‚¬27,409"/>
    <s v="[]"/>
    <x v="20"/>
    <n v="27409"/>
  </r>
  <r>
    <x v="0"/>
    <x v="1"/>
    <s v="hybrid"/>
    <s v="company_199"/>
    <x v="78"/>
    <s v="15 days ago"/>
    <x v="17"/>
    <x v="2"/>
    <s v="Public"/>
    <n v="19470"/>
    <s v="â‚¬91.70B"/>
    <s v="â‚¬109,605"/>
    <s v="['java', 'sql', 'python']"/>
    <x v="1"/>
    <n v="109605"/>
  </r>
  <r>
    <x v="0"/>
    <x v="1"/>
    <s v="hybrid"/>
    <s v="company_203"/>
    <x v="79"/>
    <s v="a day ago"/>
    <x v="60"/>
    <x v="2"/>
    <s v="Private"/>
    <n v="1230"/>
    <s v="Private"/>
    <s v="â‚¬199,795"/>
    <s v="[]"/>
    <x v="2"/>
    <n v="199795"/>
  </r>
  <r>
    <x v="0"/>
    <x v="0"/>
    <s v="on-site"/>
    <s v="company_207"/>
    <x v="80"/>
    <s v="14 days ago"/>
    <x v="61"/>
    <x v="2"/>
    <s v="Public"/>
    <n v="40060"/>
    <s v="â‚¬55.54B"/>
    <s v="â‚¬94,077 - â‚¬118,737"/>
    <s v="['aws', 'python', 'linux', 'sql', 'gcp', 'hadoop']"/>
    <x v="8"/>
    <n v="106407"/>
  </r>
  <r>
    <x v="0"/>
    <x v="0"/>
    <s v="Unknown"/>
    <s v="company_209"/>
    <x v="14"/>
    <s v="8 days ago"/>
    <x v="5"/>
    <x v="2"/>
    <s v="Private"/>
    <n v="1270"/>
    <s v="â‚¬913.33M"/>
    <s v="â‚¬639,348"/>
    <s v="['spark', 'aws', 'python', 'sql', 'gcp', 'deep learning', 'tensorflow', 'tableau']"/>
    <x v="3"/>
    <n v="639348"/>
  </r>
  <r>
    <x v="2"/>
    <x v="4"/>
    <s v="Unknown"/>
    <s v="company_211"/>
    <x v="81"/>
    <s v="15 days ago"/>
    <x v="62"/>
    <x v="5"/>
    <s v="Public"/>
    <n v="82020"/>
    <s v="Public"/>
    <s v="â‚¬69,047"/>
    <s v="['python']"/>
    <x v="1"/>
    <n v="69047"/>
  </r>
  <r>
    <x v="0"/>
    <x v="0"/>
    <s v="Unknown"/>
    <s v="company_212"/>
    <x v="82"/>
    <s v="5 days ago"/>
    <x v="8"/>
    <x v="2"/>
    <s v="Public"/>
    <n v="222500"/>
    <s v="Public"/>
    <s v="â‚¬135,179"/>
    <s v="['azure', 'aws', 'machine learning', 'python']"/>
    <x v="15"/>
    <n v="135179"/>
  </r>
  <r>
    <x v="1"/>
    <x v="2"/>
    <s v="on-site"/>
    <s v="company_215"/>
    <x v="83"/>
    <s v="13 days ago"/>
    <x v="9"/>
    <x v="2"/>
    <s v="Private"/>
    <n v="580"/>
    <s v="â‚¬7.07B"/>
    <s v="â‚¬200,939 - â‚¬296,838"/>
    <s v="[]"/>
    <x v="9"/>
    <n v="248888.5"/>
  </r>
  <r>
    <x v="0"/>
    <x v="1"/>
    <s v="hybrid"/>
    <s v="company_221"/>
    <x v="49"/>
    <s v="8 days ago"/>
    <x v="5"/>
    <x v="2"/>
    <s v="Private"/>
    <n v="900"/>
    <s v="Private"/>
    <s v="â‚¬19,096"/>
    <s v="['spark', 'r', 'python', 'java', 'sql', 'machine learning']"/>
    <x v="3"/>
    <n v="19096"/>
  </r>
  <r>
    <x v="0"/>
    <x v="0"/>
    <s v="Unknown"/>
    <s v="company_223"/>
    <x v="84"/>
    <s v="2 days ago"/>
    <x v="5"/>
    <x v="2"/>
    <s v="Public"/>
    <n v="10010"/>
    <s v="Public"/>
    <s v="â‚¬99,560"/>
    <s v="['spark', 'aws', 'r', 'python', 'machine learning', 'hadoop', 'deep learning']"/>
    <x v="13"/>
    <n v="99560"/>
  </r>
  <r>
    <x v="0"/>
    <x v="0"/>
    <s v="hybrid"/>
    <s v="company_092"/>
    <x v="37"/>
    <s v="5 days ago"/>
    <x v="17"/>
    <x v="2"/>
    <s v="Public"/>
    <n v="24030"/>
    <s v="Public"/>
    <s v="â‚¬92,838 - â‚¬172,407"/>
    <s v="['java', 'machine learning', 'r', 'python']"/>
    <x v="15"/>
    <n v="132622.5"/>
  </r>
  <r>
    <x v="0"/>
    <x v="2"/>
    <s v="remote"/>
    <s v="company_225"/>
    <x v="8"/>
    <s v="7 days ago"/>
    <x v="9"/>
    <x v="0"/>
    <s v="Private"/>
    <n v="12300"/>
    <s v="â‚¬35.97B"/>
    <s v="â‚¬137,001"/>
    <s v="[]"/>
    <x v="10"/>
    <n v="137001"/>
  </r>
  <r>
    <x v="0"/>
    <x v="0"/>
    <s v="on-site"/>
    <s v="company_226"/>
    <x v="85"/>
    <s v="22 days ago"/>
    <x v="63"/>
    <x v="4"/>
    <s v="Unknown"/>
    <n v="9320"/>
    <s v="Education"/>
    <s v="â‚¬55,196 - â‚¬77,273"/>
    <s v="['deep learning', 'machine learning']"/>
    <x v="20"/>
    <n v="66234.5"/>
  </r>
  <r>
    <x v="0"/>
    <x v="0"/>
    <s v="on-site"/>
    <s v="company_227"/>
    <x v="47"/>
    <s v="15 days ago"/>
    <x v="44"/>
    <x v="5"/>
    <s v="Public"/>
    <n v="24020"/>
    <s v="â‚¬6.34B"/>
    <s v="â‚¬68,685 - â‚¬100,834"/>
    <s v="['pytorch', 'aws', 'r', 'python', 'docker', 'scikit-learn', 'sql', 'machine learning', 'gcp', 'deep learning', 'azure', 'tensorflow']"/>
    <x v="1"/>
    <n v="84759.5"/>
  </r>
  <r>
    <x v="0"/>
    <x v="0"/>
    <s v="hybrid"/>
    <s v="company_052"/>
    <x v="86"/>
    <s v="22 days ago"/>
    <x v="9"/>
    <x v="2"/>
    <s v="Public"/>
    <n v="26910"/>
    <s v="â‚¬53.05B"/>
    <s v="â‚¬50,222"/>
    <s v="['sql', 'r', 'python']"/>
    <x v="20"/>
    <n v="50222"/>
  </r>
  <r>
    <x v="0"/>
    <x v="4"/>
    <s v="on-site"/>
    <s v="company_230"/>
    <x v="87"/>
    <s v="6 days ago"/>
    <x v="64"/>
    <x v="5"/>
    <s v="Public"/>
    <n v="49360"/>
    <s v="â‚¬245.39B"/>
    <s v="â‚¬137,003"/>
    <s v="[]"/>
    <x v="6"/>
    <n v="137003"/>
  </r>
  <r>
    <x v="0"/>
    <x v="0"/>
    <s v="on-site"/>
    <s v="company_231"/>
    <x v="88"/>
    <s v="25 days ago"/>
    <x v="65"/>
    <x v="5"/>
    <s v="Public"/>
    <n v="78750"/>
    <s v="â‚¬231.03B"/>
    <s v="â‚¬124,219"/>
    <s v="['machine learning', 'r', 'python']"/>
    <x v="11"/>
    <n v="124219"/>
  </r>
  <r>
    <x v="0"/>
    <x v="0"/>
    <s v="remote"/>
    <s v="company_233"/>
    <x v="30"/>
    <s v="5 days ago"/>
    <x v="66"/>
    <x v="2"/>
    <s v="Public"/>
    <n v="27450"/>
    <s v="Public"/>
    <s v="â‚¬95,586 - â‚¬172,785"/>
    <s v="['machine learning', 'r', 'python']"/>
    <x v="15"/>
    <n v="134185.5"/>
  </r>
  <r>
    <x v="0"/>
    <x v="1"/>
    <s v="on-site"/>
    <s v="company_235"/>
    <x v="89"/>
    <s v="15 days ago"/>
    <x v="67"/>
    <x v="3"/>
    <s v="Private"/>
    <n v="33030"/>
    <s v="Private"/>
    <s v="â‚¬137,008"/>
    <s v="['spark', 'r', 'python', 'sql', 'machine learning', 'hadoop', 'deep learning']"/>
    <x v="1"/>
    <n v="137008"/>
  </r>
  <r>
    <x v="0"/>
    <x v="0"/>
    <s v="remote"/>
    <s v="company_236"/>
    <x v="32"/>
    <s v="a day ago"/>
    <x v="68"/>
    <x v="2"/>
    <s v="Private"/>
    <n v="30"/>
    <s v="Private"/>
    <s v="â‚¬137,002 - â‚¬155,268"/>
    <s v="['sql', 'machine learning', 'tableau', 'python']"/>
    <x v="2"/>
    <n v="146135"/>
  </r>
  <r>
    <x v="0"/>
    <x v="0"/>
    <s v="Unknown"/>
    <s v="company_041"/>
    <x v="90"/>
    <s v="5 days ago"/>
    <x v="16"/>
    <x v="5"/>
    <s v="Public"/>
    <n v="93560"/>
    <s v="â‚¬247.18B"/>
    <s v="â‚¬74,130"/>
    <s v="['gcp', 'git', 'r']"/>
    <x v="15"/>
    <n v="74130"/>
  </r>
  <r>
    <x v="0"/>
    <x v="0"/>
    <s v="hybrid"/>
    <s v="company_241"/>
    <x v="27"/>
    <s v="2 months ago"/>
    <x v="69"/>
    <x v="2"/>
    <s v="Private"/>
    <n v="180"/>
    <s v="Private"/>
    <s v="â‚¬95,906 - â‚¬105,039"/>
    <s v="['pytorch', 'aws', 'scikit-learn', 'scipy', 'machine learning', 'gcp', 'azure', 'tensorflow']"/>
    <x v="13"/>
    <n v="100472.5"/>
  </r>
  <r>
    <x v="0"/>
    <x v="2"/>
    <s v="on-site"/>
    <s v="company_243"/>
    <x v="91"/>
    <s v="8 days ago"/>
    <x v="70"/>
    <x v="2"/>
    <s v="Public"/>
    <n v="2820"/>
    <s v="Public"/>
    <s v="â‚¬101,149 - â‚¬110,282"/>
    <s v="[]"/>
    <x v="3"/>
    <n v="105715.5"/>
  </r>
  <r>
    <x v="0"/>
    <x v="0"/>
    <s v="on-site"/>
    <s v="company_244"/>
    <x v="92"/>
    <s v="15 days ago"/>
    <x v="5"/>
    <x v="3"/>
    <s v="Public"/>
    <n v="290800"/>
    <s v="â‚¬350.17B"/>
    <s v="â‚¬86,772 - â‚¬196,371"/>
    <s v="['pytorch', 'machine learning', 'tensorflow', 'python']"/>
    <x v="1"/>
    <n v="141571.5"/>
  </r>
  <r>
    <x v="0"/>
    <x v="4"/>
    <s v="Unknown"/>
    <s v="company_246"/>
    <x v="13"/>
    <s v="8 days ago"/>
    <x v="5"/>
    <x v="3"/>
    <s v="Private"/>
    <n v="23320"/>
    <s v="Private"/>
    <s v="â‚¬173,540"/>
    <s v="['spark', 'python', 'docker', 'java', 'sql', 'machine learning', 'kubernetes', 'hadoop', 'deep learning']"/>
    <x v="3"/>
    <n v="173540"/>
  </r>
  <r>
    <x v="0"/>
    <x v="1"/>
    <s v="Unknown"/>
    <s v="company_250"/>
    <x v="5"/>
    <s v="4 days ago"/>
    <x v="71"/>
    <x v="5"/>
    <s v="Private"/>
    <n v="76020"/>
    <s v="Private"/>
    <s v="â‚¬171,458 - â‚¬238,990"/>
    <s v="['powerbi', 'r', 'python', 'scikit-learn', 'sql', 'machine learning', 'tensorflow', 'tableau']"/>
    <x v="16"/>
    <n v="205224"/>
  </r>
  <r>
    <x v="0"/>
    <x v="1"/>
    <s v="hybrid"/>
    <s v="company_252"/>
    <x v="93"/>
    <s v="5 days ago"/>
    <x v="9"/>
    <x v="5"/>
    <s v="Private"/>
    <n v="500"/>
    <s v="â‚¬1.72B"/>
    <s v="â‚¬258,704"/>
    <s v="[]"/>
    <x v="15"/>
    <n v="258704"/>
  </r>
  <r>
    <x v="0"/>
    <x v="0"/>
    <s v="Unknown"/>
    <s v="company_254"/>
    <x v="94"/>
    <s v="9 days ago"/>
    <x v="72"/>
    <x v="5"/>
    <s v="Public"/>
    <n v="2520"/>
    <s v="Public"/>
    <s v="â‚¬63,935 - â‚¬86,768"/>
    <s v="['powerbi', 'r', 'python', 'sql', 'database', 'hadoop', 'tableau']"/>
    <x v="5"/>
    <n v="75351.5"/>
  </r>
  <r>
    <x v="0"/>
    <x v="2"/>
    <s v="on-site"/>
    <s v="company_255"/>
    <x v="15"/>
    <s v="8 days ago"/>
    <x v="73"/>
    <x v="2"/>
    <s v="Private"/>
    <n v="3760"/>
    <s v="â‚¬913.33M"/>
    <s v="â‚¬123,305 - â‚¬137,005"/>
    <s v="[]"/>
    <x v="3"/>
    <n v="130155"/>
  </r>
  <r>
    <x v="0"/>
    <x v="0"/>
    <s v="on-site"/>
    <s v="company_256"/>
    <x v="95"/>
    <s v="4 days ago"/>
    <x v="9"/>
    <x v="2"/>
    <s v="Private"/>
    <n v="150"/>
    <s v="â‚¬4.10B"/>
    <s v="â‚¬155,274"/>
    <s v="['sql', 'machine learning', 'r', 'python']"/>
    <x v="16"/>
    <n v="155274"/>
  </r>
  <r>
    <x v="0"/>
    <x v="0"/>
    <s v="hybrid"/>
    <s v="company_257"/>
    <x v="28"/>
    <s v="6 days ago"/>
    <x v="26"/>
    <x v="3"/>
    <s v="Public"/>
    <n v="21050"/>
    <s v="â‚¬383.10B"/>
    <s v="â‚¬120,561 - â‚¬192,988"/>
    <s v="['pytorch', 'spark', 'r', 'python', 'scikit-learn', 'machine learning', 'deep learning', 'tensorflow']"/>
    <x v="6"/>
    <n v="156774.5"/>
  </r>
  <r>
    <x v="1"/>
    <x v="0"/>
    <s v="hybrid"/>
    <s v="company_007"/>
    <x v="96"/>
    <s v="a month ago"/>
    <x v="2"/>
    <x v="2"/>
    <s v="Public"/>
    <n v="25940"/>
    <s v="â‚¬33.50B"/>
    <s v="â‚¬59,371 - â‚¬63,938"/>
    <s v="['pytorch', 'machine learning', 'tensorflow', 'python']"/>
    <x v="2"/>
    <n v="61654.5"/>
  </r>
  <r>
    <x v="0"/>
    <x v="0"/>
    <s v="on-site"/>
    <s v="company_261"/>
    <x v="97"/>
    <s v="7 days ago"/>
    <x v="74"/>
    <x v="5"/>
    <s v="Public"/>
    <n v="103540"/>
    <s v="â‚¬162.59B"/>
    <s v="â‚¬79,187"/>
    <s v="['spark', 'r', 'python', 'scala', 'linux', 'java', 'hadoop', 'machine learning']"/>
    <x v="10"/>
    <n v="79187"/>
  </r>
  <r>
    <x v="0"/>
    <x v="0"/>
    <s v="Unknown"/>
    <s v="company_183"/>
    <x v="98"/>
    <s v="8 days ago"/>
    <x v="57"/>
    <x v="2"/>
    <s v="Private"/>
    <n v="3780"/>
    <s v="Private"/>
    <s v="â‚¬98,643"/>
    <s v="['pandas', 'numpy', 'spark', 'aws', 'scikit-learn', 'python', 'airflow', 'machine learning']"/>
    <x v="3"/>
    <n v="98643"/>
  </r>
  <r>
    <x v="0"/>
    <x v="0"/>
    <s v="Unknown"/>
    <s v="company_268"/>
    <x v="99"/>
    <s v="7 days ago"/>
    <x v="75"/>
    <x v="3"/>
    <s v="Public"/>
    <n v="30870"/>
    <s v="Public"/>
    <s v="â‚¬67,044"/>
    <s v="['pytorch', 'git', 'python', 'machine learning', 'tensorflow']"/>
    <x v="10"/>
    <n v="67044"/>
  </r>
  <r>
    <x v="0"/>
    <x v="0"/>
    <s v="Unknown"/>
    <s v="company_269"/>
    <x v="100"/>
    <s v="a month ago"/>
    <x v="10"/>
    <x v="3"/>
    <s v="Public"/>
    <n v="274280"/>
    <s v="â‚¬277.07B"/>
    <s v="â‚¬150,707 - â‚¬224,869"/>
    <s v="['python', 'java', 'sql', 'hadoop', 'machine learning']"/>
    <x v="2"/>
    <n v="187788"/>
  </r>
  <r>
    <x v="0"/>
    <x v="1"/>
    <s v="Unknown"/>
    <s v="company_270"/>
    <x v="5"/>
    <s v="2 months ago"/>
    <x v="76"/>
    <x v="5"/>
    <s v="Public"/>
    <n v="300070"/>
    <s v="â‚¬121.12B"/>
    <s v="â‚¬131,706 - â‚¬263,408"/>
    <s v="['sql', 'python']"/>
    <x v="13"/>
    <n v="197557"/>
  </r>
  <r>
    <x v="0"/>
    <x v="4"/>
    <s v="on-site"/>
    <s v="company_231"/>
    <x v="101"/>
    <s v="5 days ago"/>
    <x v="65"/>
    <x v="5"/>
    <s v="Public"/>
    <n v="78720"/>
    <s v="â‚¬231.13B"/>
    <s v="â‚¬115,539 - â‚¬181,846"/>
    <s v="['aws', 'git', 'r', 'python', 'java', 'machine learning', 'database', 'azure', 'matplotlib']"/>
    <x v="15"/>
    <n v="148692.5"/>
  </r>
  <r>
    <x v="0"/>
    <x v="0"/>
    <s v="on-site"/>
    <s v="company_273"/>
    <x v="102"/>
    <s v="a month ago"/>
    <x v="7"/>
    <x v="2"/>
    <s v="Public"/>
    <n v="94540"/>
    <s v="â‚¬230.42B"/>
    <s v="â‚¬121,475 - â‚¬255,734"/>
    <s v="['sql', 'machine learning', 'r', 'python']"/>
    <x v="2"/>
    <n v="188604.5"/>
  </r>
  <r>
    <x v="0"/>
    <x v="1"/>
    <s v="hybrid"/>
    <s v="company_276"/>
    <x v="76"/>
    <s v="a month ago"/>
    <x v="29"/>
    <x v="2"/>
    <s v="Private"/>
    <n v="360"/>
    <s v="â‚¬3.09B"/>
    <s v="â‚¬294,100"/>
    <s v="[]"/>
    <x v="2"/>
    <n v="294100"/>
  </r>
  <r>
    <x v="0"/>
    <x v="2"/>
    <s v="on-site"/>
    <s v="company_279"/>
    <x v="103"/>
    <s v="8 days ago"/>
    <x v="9"/>
    <x v="2"/>
    <s v="Private"/>
    <n v="500"/>
    <s v="Private"/>
    <s v="â‚¬127,874 - â‚¬155,273"/>
    <s v="[]"/>
    <x v="3"/>
    <n v="141573.5"/>
  </r>
  <r>
    <x v="1"/>
    <x v="0"/>
    <s v="Unknown"/>
    <s v="company_106"/>
    <x v="46"/>
    <s v="2 days ago"/>
    <x v="38"/>
    <x v="7"/>
    <s v="Private"/>
    <n v="38130"/>
    <s v="â‚¬34.32B"/>
    <s v="â‚¬26,760"/>
    <s v="['spark', 'aws', 'powerbi', 'python', 'docker', 'sql', 'machine learning', 'gcp', 'kubernetes', 'deep learning', 'azure']"/>
    <x v="13"/>
    <n v="26760"/>
  </r>
  <r>
    <x v="0"/>
    <x v="4"/>
    <s v="remote"/>
    <s v="company_280"/>
    <x v="104"/>
    <s v="a month ago"/>
    <x v="77"/>
    <x v="2"/>
    <s v="Private"/>
    <n v="60"/>
    <s v="Private"/>
    <s v="â‚¬109,600 - â‚¬182,666"/>
    <s v="['linux', 'machine learning', 'python']"/>
    <x v="2"/>
    <n v="146133"/>
  </r>
  <r>
    <x v="0"/>
    <x v="0"/>
    <s v="remote"/>
    <s v="company_282"/>
    <x v="105"/>
    <s v="5 days ago"/>
    <x v="78"/>
    <x v="5"/>
    <s v="Public"/>
    <n v="28070"/>
    <s v="Public"/>
    <s v="â‚¬68,501 - â‚¬109,601"/>
    <s v="['git', 'r', 'python', 'bash', 'sql', 'machine learning', 'deep learning']"/>
    <x v="15"/>
    <n v="89051"/>
  </r>
  <r>
    <x v="0"/>
    <x v="1"/>
    <s v="hybrid"/>
    <s v="company_115"/>
    <x v="35"/>
    <s v="a month ago"/>
    <x v="40"/>
    <x v="3"/>
    <s v="Public"/>
    <n v="68430"/>
    <s v="Public"/>
    <s v="â‚¬137,002"/>
    <s v="['pandas', 'numpy', 'scikit-learn', 'python', 'sql', 'hadoop']"/>
    <x v="2"/>
    <n v="137002"/>
  </r>
  <r>
    <x v="0"/>
    <x v="0"/>
    <s v="Unknown"/>
    <s v="company_207"/>
    <x v="106"/>
    <s v="10 days ago"/>
    <x v="61"/>
    <x v="2"/>
    <s v="Public"/>
    <n v="40050"/>
    <s v="â‚¬55.39B"/>
    <s v="â‚¬24,621"/>
    <s v="['pytorch', 'r', 'python', 'sql', 'machine learning', 'deep learning', 'tensorflow', 'tableau']"/>
    <x v="19"/>
    <n v="24621"/>
  </r>
  <r>
    <x v="0"/>
    <x v="3"/>
    <s v="Unknown"/>
    <s v="company_047"/>
    <x v="14"/>
    <s v="a month ago"/>
    <x v="19"/>
    <x v="2"/>
    <s v="Public"/>
    <n v="222040"/>
    <s v="â‚¬24.21B"/>
    <s v="â‚¬10,055"/>
    <s v="['deep learning', 'machine learning']"/>
    <x v="2"/>
    <n v="10055"/>
  </r>
  <r>
    <x v="0"/>
    <x v="0"/>
    <s v="on-site"/>
    <s v="company_288"/>
    <x v="107"/>
    <s v="a month ago"/>
    <x v="66"/>
    <x v="2"/>
    <s v="Public"/>
    <n v="26030"/>
    <s v="â‚¬63.09B"/>
    <s v="â‚¬114,171"/>
    <s v="['aws', 'azure']"/>
    <x v="2"/>
    <n v="114171"/>
  </r>
  <r>
    <x v="0"/>
    <x v="0"/>
    <s v="Unknown"/>
    <s v="company_290"/>
    <x v="46"/>
    <s v="8 days ago"/>
    <x v="69"/>
    <x v="3"/>
    <s v="Public"/>
    <n v="68160"/>
    <s v="â‚¬26.63B"/>
    <s v="â‚¬29,949 - â‚¬41,758"/>
    <s v="['powerbi', 'aws', 'python', 'sql', 'machine learning', 'tableau']"/>
    <x v="3"/>
    <n v="35853.5"/>
  </r>
  <r>
    <x v="0"/>
    <x v="0"/>
    <s v="Unknown"/>
    <s v="company_291"/>
    <x v="14"/>
    <s v="5 days ago"/>
    <x v="19"/>
    <x v="2"/>
    <s v="Public"/>
    <n v="261060"/>
    <s v="â‚¬70.98B"/>
    <s v="â‚¬9,583"/>
    <s v="['aws', 'r', 'python', 'sql', 'neural network', 'gcp', 'azure']"/>
    <x v="15"/>
    <n v="9583"/>
  </r>
  <r>
    <x v="0"/>
    <x v="0"/>
    <s v="on-site"/>
    <s v="company_141"/>
    <x v="61"/>
    <s v="a month ago"/>
    <x v="45"/>
    <x v="2"/>
    <s v="Public"/>
    <n v="108650"/>
    <s v="â‚¬116.88B"/>
    <s v="â‚¬68,500"/>
    <s v="['machine learning']"/>
    <x v="2"/>
    <n v="68500"/>
  </r>
  <r>
    <x v="0"/>
    <x v="0"/>
    <s v="remote"/>
    <s v="company_293"/>
    <x v="14"/>
    <s v="3 months ago"/>
    <x v="19"/>
    <x v="2"/>
    <s v="Private"/>
    <n v="15440"/>
    <s v="â‚¬10.22B"/>
    <s v="â‚¬36,104"/>
    <s v="['spark', 'python', 'sql', 'machine learning', 'deep learning', 'tensorflow']"/>
    <x v="4"/>
    <n v="36104"/>
  </r>
  <r>
    <x v="0"/>
    <x v="0"/>
    <s v="hybrid"/>
    <s v="company_295"/>
    <x v="108"/>
    <s v="5 days ago"/>
    <x v="79"/>
    <x v="2"/>
    <s v="Private"/>
    <n v="31"/>
    <s v="Private"/>
    <s v="â‚¬55,906"/>
    <s v="['pandas', 'numpy', 'pytorch', 'aws', 'scikit-learn', 'python', 'sql', 'machine learning']"/>
    <x v="15"/>
    <n v="55906"/>
  </r>
  <r>
    <x v="0"/>
    <x v="4"/>
    <s v="hybrid"/>
    <s v="company_296"/>
    <x v="109"/>
    <s v="17 days ago"/>
    <x v="80"/>
    <x v="5"/>
    <s v="Public"/>
    <n v="613"/>
    <s v="Public"/>
    <s v="â‚¬81,293 - â‚¬108,937"/>
    <s v="['machine learning', 'python']"/>
    <x v="0"/>
    <n v="95115"/>
  </r>
  <r>
    <x v="0"/>
    <x v="4"/>
    <s v="on-site"/>
    <s v="company_166"/>
    <x v="66"/>
    <s v="8 days ago"/>
    <x v="50"/>
    <x v="2"/>
    <s v="Public"/>
    <n v="24820"/>
    <s v="â‚¬173.56B"/>
    <s v="â‚¬82,373"/>
    <s v="['python']"/>
    <x v="3"/>
    <n v="82373"/>
  </r>
  <r>
    <x v="0"/>
    <x v="0"/>
    <s v="remote"/>
    <s v="company_298"/>
    <x v="30"/>
    <s v="15 days ago"/>
    <x v="81"/>
    <x v="5"/>
    <s v="Public"/>
    <n v="1020"/>
    <s v="Public"/>
    <s v="â‚¬88,140 - â‚¬136,089"/>
    <s v="['sql', 'azure', 'r', 'python']"/>
    <x v="1"/>
    <n v="112114.5"/>
  </r>
  <r>
    <x v="0"/>
    <x v="0"/>
    <s v="Unknown"/>
    <s v="company_303"/>
    <x v="5"/>
    <s v="22 days ago"/>
    <x v="82"/>
    <x v="2"/>
    <s v="Public"/>
    <n v="11060"/>
    <s v="Public"/>
    <s v="â‚¬114,175 - â‚¬118,741"/>
    <s v="['aws', 'git', 'python', 'sql', 'gcp', 'machine learning']"/>
    <x v="20"/>
    <n v="116458"/>
  </r>
  <r>
    <x v="0"/>
    <x v="0"/>
    <s v="on-site"/>
    <s v="company_034"/>
    <x v="110"/>
    <s v="a month ago"/>
    <x v="14"/>
    <x v="2"/>
    <s v="Private"/>
    <n v="45"/>
    <s v="Private"/>
    <s v="â‚¬178,100 - â‚¬210,980"/>
    <s v="['sql', 'machine learning', 'r', 'python']"/>
    <x v="2"/>
    <n v="194540"/>
  </r>
  <r>
    <x v="0"/>
    <x v="0"/>
    <s v="Unknown"/>
    <s v="company_305"/>
    <x v="111"/>
    <s v="a month ago"/>
    <x v="5"/>
    <x v="3"/>
    <s v="Public"/>
    <n v="88990"/>
    <s v="â‚¬132.46B"/>
    <s v="â‚¬27,403"/>
    <s v="['machine learning', 'python']"/>
    <x v="2"/>
    <n v="27403"/>
  </r>
  <r>
    <x v="0"/>
    <x v="4"/>
    <s v="remote"/>
    <s v="company_306"/>
    <x v="112"/>
    <s v="3 months ago"/>
    <x v="83"/>
    <x v="2"/>
    <s v="Private"/>
    <n v="90"/>
    <s v="Private"/>
    <s v="â‚¬127,871 - â‚¬178,103"/>
    <s v="['sql', 'machine learning', 'r', 'python']"/>
    <x v="4"/>
    <n v="152987"/>
  </r>
  <r>
    <x v="0"/>
    <x v="0"/>
    <s v="on-site"/>
    <s v="company_308"/>
    <x v="113"/>
    <s v="15 days ago"/>
    <x v="84"/>
    <x v="2"/>
    <s v="Public"/>
    <n v="182338"/>
    <s v="â‚¬1.73T"/>
    <s v="â‚¬171,712 - â‚¬277,840"/>
    <s v="['sql', 'python']"/>
    <x v="1"/>
    <n v="224776"/>
  </r>
  <r>
    <x v="0"/>
    <x v="0"/>
    <s v="Unknown"/>
    <s v="company_309"/>
    <x v="14"/>
    <s v="19 days ago"/>
    <x v="5"/>
    <x v="2"/>
    <s v="Private"/>
    <n v="3540"/>
    <s v="Private"/>
    <s v="â‚¬19,234"/>
    <s v="['pytorch', 'aws', 'git', 'python', 'docker', 'gcp', 'azure', 'tensorflow']"/>
    <x v="7"/>
    <n v="19234"/>
  </r>
  <r>
    <x v="0"/>
    <x v="1"/>
    <s v="on-site"/>
    <s v="company_310"/>
    <x v="114"/>
    <s v="2 days ago"/>
    <x v="85"/>
    <x v="2"/>
    <s v="Public"/>
    <n v="20070"/>
    <s v="Public"/>
    <s v="â‚¬90,697"/>
    <s v="['powerbi', 'tableau']"/>
    <x v="13"/>
    <n v="90697"/>
  </r>
  <r>
    <x v="1"/>
    <x v="2"/>
    <s v="on-site"/>
    <s v="company_312"/>
    <x v="83"/>
    <s v="13 days ago"/>
    <x v="86"/>
    <x v="2"/>
    <s v="Private"/>
    <n v="31"/>
    <s v="Private"/>
    <s v="â‚¬200,939 - â‚¬296,838"/>
    <s v="[]"/>
    <x v="9"/>
    <n v="248888.5"/>
  </r>
  <r>
    <x v="0"/>
    <x v="0"/>
    <s v="on-site"/>
    <s v="company_315"/>
    <x v="30"/>
    <s v="9 days ago"/>
    <x v="87"/>
    <x v="2"/>
    <s v="Public"/>
    <n v="212610"/>
    <s v="â‚¬188.01B"/>
    <s v="â‚¬99,744 - â‚¬204,046"/>
    <s v="['pytorch', 'aws', 'r', 'python', 'docker', 'machine learning', 'kubernetes', 'deep learning', 'tensorflow']"/>
    <x v="5"/>
    <n v="151895"/>
  </r>
  <r>
    <x v="0"/>
    <x v="0"/>
    <s v="on-site"/>
    <s v="company_316"/>
    <x v="115"/>
    <s v="22 days ago"/>
    <x v="88"/>
    <x v="5"/>
    <s v="Public"/>
    <n v="37990"/>
    <s v="Public"/>
    <s v="â‚¬52,987"/>
    <s v="['sql', 'azure', 'python']"/>
    <x v="20"/>
    <n v="52987"/>
  </r>
  <r>
    <x v="0"/>
    <x v="1"/>
    <s v="Unknown"/>
    <s v="company_251"/>
    <x v="116"/>
    <s v="15 days ago"/>
    <x v="89"/>
    <x v="2"/>
    <s v="Public"/>
    <n v="65120"/>
    <s v="Public"/>
    <s v="â‚¬115,086"/>
    <s v="['spark', 'aws', 'r', 'python', 'scala', 'java', 'sql', 'machine learning', 'hadoop', 'azure', 'tensorflow', 'tableau']"/>
    <x v="1"/>
    <n v="115086"/>
  </r>
  <r>
    <x v="0"/>
    <x v="0"/>
    <s v="remote"/>
    <s v="company_318"/>
    <x v="30"/>
    <s v="a month ago"/>
    <x v="90"/>
    <x v="2"/>
    <s v="Public"/>
    <n v="55070"/>
    <s v="â‚¬14.86B"/>
    <s v="â‚¬100,467"/>
    <s v="['machine learning']"/>
    <x v="2"/>
    <n v="100467"/>
  </r>
  <r>
    <x v="1"/>
    <x v="0"/>
    <s v="hybrid"/>
    <s v="company_008"/>
    <x v="117"/>
    <s v="15 days ago"/>
    <x v="3"/>
    <x v="2"/>
    <s v="Public"/>
    <n v="34690"/>
    <s v="â‚¬81.56B"/>
    <s v="â‚¬125,584 - â‚¬216,003"/>
    <s v="['pandas', 'numpy', 'pytorch', 'spark', 'aws', 'scikit-learn', 'python', 'java', 'sql', 'machine learning', 'tensorflow']"/>
    <x v="1"/>
    <n v="170793.5"/>
  </r>
  <r>
    <x v="0"/>
    <x v="0"/>
    <s v="on-site"/>
    <s v="company_324"/>
    <x v="118"/>
    <s v="8 days ago"/>
    <x v="59"/>
    <x v="2"/>
    <s v="Private"/>
    <n v="2540"/>
    <s v="â‚¬3.95B"/>
    <s v="â‚¬137,003 - â‚¬150,703"/>
    <s v="['sql', 'machine learning', 'r', 'python']"/>
    <x v="3"/>
    <n v="143853"/>
  </r>
  <r>
    <x v="1"/>
    <x v="0"/>
    <s v="Unknown"/>
    <s v="company_326"/>
    <x v="119"/>
    <s v="2 years ago"/>
    <x v="91"/>
    <x v="2"/>
    <s v="Private"/>
    <n v="910"/>
    <s v="â‚¬7.41B"/>
    <s v="â‚¬44,207"/>
    <s v="[]"/>
    <x v="13"/>
    <n v="44207"/>
  </r>
  <r>
    <x v="0"/>
    <x v="0"/>
    <s v="remote"/>
    <s v="company_328"/>
    <x v="120"/>
    <s v="10 days ago"/>
    <x v="92"/>
    <x v="2"/>
    <s v="Public"/>
    <n v="14460"/>
    <s v="â‚¬26.53B"/>
    <s v="â‚¬118,733 - â‚¬166,226"/>
    <s v="['sql', 'tableau']"/>
    <x v="19"/>
    <n v="142479.5"/>
  </r>
  <r>
    <x v="0"/>
    <x v="1"/>
    <s v="on-site"/>
    <s v="company_336"/>
    <x v="121"/>
    <s v="6 days ago"/>
    <x v="93"/>
    <x v="2"/>
    <s v="Private"/>
    <n v="14040"/>
    <s v="Private"/>
    <s v="â‚¬195,911"/>
    <s v="['machine learning']"/>
    <x v="6"/>
    <n v="195911"/>
  </r>
  <r>
    <x v="0"/>
    <x v="4"/>
    <s v="remote"/>
    <s v="company_337"/>
    <x v="122"/>
    <s v="25 days ago"/>
    <x v="94"/>
    <x v="3"/>
    <s v="Public"/>
    <n v="7290"/>
    <s v="Public"/>
    <s v="â‚¬131,219 - â‚¬223,067"/>
    <s v="['r', 'python', 'sql', 'machine learning', 'database', 'deep learning']"/>
    <x v="11"/>
    <n v="177143"/>
  </r>
  <r>
    <x v="0"/>
    <x v="0"/>
    <s v="remote"/>
    <s v="company_339"/>
    <x v="8"/>
    <s v="a month ago"/>
    <x v="27"/>
    <x v="2"/>
    <s v="Private"/>
    <n v="960"/>
    <s v="â‚¬3.04B"/>
    <s v="â‚¬164,405 - â‚¬226,054"/>
    <s v="[]"/>
    <x v="2"/>
    <n v="195229.5"/>
  </r>
  <r>
    <x v="0"/>
    <x v="0"/>
    <s v="hybrid"/>
    <s v="company_340"/>
    <x v="117"/>
    <s v="2 months ago"/>
    <x v="5"/>
    <x v="2"/>
    <s v="Private"/>
    <n v="750"/>
    <s v="Private"/>
    <s v="â‚¬112,800 - â‚¬194,405"/>
    <s v="['sql', 'machine learning', 'r', 'python']"/>
    <x v="13"/>
    <n v="153602.5"/>
  </r>
  <r>
    <x v="0"/>
    <x v="2"/>
    <s v="on-site"/>
    <s v="company_341"/>
    <x v="4"/>
    <s v="13 days ago"/>
    <x v="9"/>
    <x v="2"/>
    <s v="Private"/>
    <n v="600"/>
    <s v="â‚¬13.85B"/>
    <s v="â‚¬127,868 - â‚¬143,851"/>
    <s v="[]"/>
    <x v="9"/>
    <n v="135859.5"/>
  </r>
  <r>
    <x v="0"/>
    <x v="0"/>
    <s v="Unknown"/>
    <s v="company_343"/>
    <x v="123"/>
    <s v="a day ago"/>
    <x v="95"/>
    <x v="3"/>
    <s v="Public"/>
    <n v="60010"/>
    <s v="â‚¬24.78B"/>
    <s v="â‚¬59,677"/>
    <s v="['machine learning', 'python']"/>
    <x v="2"/>
    <n v="59677"/>
  </r>
  <r>
    <x v="0"/>
    <x v="0"/>
    <s v="on-site"/>
    <s v="company_201"/>
    <x v="124"/>
    <s v="8 days ago"/>
    <x v="96"/>
    <x v="5"/>
    <s v="Public"/>
    <n v="48050"/>
    <s v="â‚¬25.16B"/>
    <s v="â‚¬102,300 - â‚¬140,660"/>
    <s v="['spark', 'python', 'scala', 'machine learning', 'database', 'azure', 'tableau']"/>
    <x v="3"/>
    <n v="121480"/>
  </r>
  <r>
    <x v="0"/>
    <x v="4"/>
    <s v="on-site"/>
    <s v="company_352"/>
    <x v="125"/>
    <s v="3 months ago"/>
    <x v="97"/>
    <x v="2"/>
    <s v="Private"/>
    <n v="12090"/>
    <s v="Private"/>
    <s v="â‚¬13,173"/>
    <s v="['amazon', 'r', 'python', 'java', 'database', 'hadoop', 'machine learning']"/>
    <x v="4"/>
    <n v="13173"/>
  </r>
  <r>
    <x v="0"/>
    <x v="0"/>
    <s v="remote"/>
    <s v="company_353"/>
    <x v="8"/>
    <s v="2 months ago"/>
    <x v="98"/>
    <x v="2"/>
    <s v="Private"/>
    <n v="351"/>
    <s v="Private"/>
    <s v="â‚¬164,400"/>
    <s v="[]"/>
    <x v="13"/>
    <n v="164400"/>
  </r>
  <r>
    <x v="0"/>
    <x v="0"/>
    <s v="on-site"/>
    <s v="company_355"/>
    <x v="36"/>
    <s v="a month ago"/>
    <x v="9"/>
    <x v="2"/>
    <s v="Public"/>
    <n v="65870"/>
    <s v="â‚¬130.59B"/>
    <s v="â‚¬125,223 - â‚¬216,007"/>
    <s v="['sql', 'r', 'python']"/>
    <x v="2"/>
    <n v="170615"/>
  </r>
  <r>
    <x v="0"/>
    <x v="0"/>
    <s v="on-site"/>
    <s v="company_184"/>
    <x v="126"/>
    <s v="6 days ago"/>
    <x v="5"/>
    <x v="0"/>
    <s v="Public"/>
    <n v="130020"/>
    <s v="â‚¬5.18B"/>
    <s v="â‚¬137,000"/>
    <s v="['machine learning']"/>
    <x v="6"/>
    <n v="137000"/>
  </r>
  <r>
    <x v="0"/>
    <x v="0"/>
    <s v="hybrid"/>
    <s v="company_357"/>
    <x v="127"/>
    <s v="8 days ago"/>
    <x v="99"/>
    <x v="2"/>
    <s v="Public"/>
    <n v="132060"/>
    <s v="â‚¬142.23B"/>
    <s v="â‚¬92,254"/>
    <s v="['python', 'sql', 'machine learning', 'database', 'hadoop', 'deep learning']"/>
    <x v="3"/>
    <n v="92254"/>
  </r>
  <r>
    <x v="0"/>
    <x v="0"/>
    <s v="Unknown"/>
    <s v="company_360"/>
    <x v="128"/>
    <s v="2 months ago"/>
    <x v="91"/>
    <x v="3"/>
    <s v="Private"/>
    <n v="78060"/>
    <s v="Private"/>
    <s v="â‚¬12,924"/>
    <s v="['pandas', 'numpy', 'pytorch', 'spark', 'aws', 'git', 'scikit-learn', 'python', 'docker', 'scipy', 'hadoop', 'machine learning', 'database', 'keras', 'deep learning', 'matplotlib', 'tensorflow']"/>
    <x v="13"/>
    <n v="12924"/>
  </r>
  <r>
    <x v="0"/>
    <x v="0"/>
    <s v="remote"/>
    <s v="company_362"/>
    <x v="8"/>
    <s v="16 days ago"/>
    <x v="9"/>
    <x v="2"/>
    <s v="Private"/>
    <n v="1890"/>
    <s v="â‚¬9.48B"/>
    <s v="â‚¬198,198 - â‚¬277,565"/>
    <s v="[]"/>
    <x v="21"/>
    <n v="237881.5"/>
  </r>
  <r>
    <x v="0"/>
    <x v="0"/>
    <s v="on-site"/>
    <s v="company_031"/>
    <x v="129"/>
    <s v="a day ago"/>
    <x v="13"/>
    <x v="5"/>
    <s v="Public"/>
    <n v="128860"/>
    <s v="â‚¬412.87B"/>
    <s v="â‚¬97,046 - â‚¬131,295"/>
    <s v="['aws', 'powerbi', 'r', 'python', 'airflow', 'machine learning', 'azure', 'tableau']"/>
    <x v="2"/>
    <n v="114170.5"/>
  </r>
  <r>
    <x v="0"/>
    <x v="0"/>
    <s v="on-site"/>
    <s v="company_363"/>
    <x v="130"/>
    <s v="23 days ago"/>
    <x v="5"/>
    <x v="2"/>
    <s v="Public"/>
    <n v="24320"/>
    <s v="Public"/>
    <s v="â‚¬109,328 - â‚¬203,035"/>
    <s v="['pytorch', 'scikit-learn', 'python', 'scala', 'java', 'machine learning', 'tensorflow']"/>
    <x v="22"/>
    <n v="156181.5"/>
  </r>
  <r>
    <x v="0"/>
    <x v="1"/>
    <s v="on-site"/>
    <s v="company_235"/>
    <x v="75"/>
    <s v="15 days ago"/>
    <x v="67"/>
    <x v="3"/>
    <s v="Private"/>
    <n v="33050"/>
    <s v="Private"/>
    <s v="â‚¬137,000"/>
    <s v="['spark', 'r', 'python', 'sql', 'machine learning', 'hadoop', 'deep learning']"/>
    <x v="1"/>
    <n v="137000"/>
  </r>
  <r>
    <x v="0"/>
    <x v="0"/>
    <s v="Unknown"/>
    <s v="company_365"/>
    <x v="131"/>
    <s v="2 months ago"/>
    <x v="100"/>
    <x v="2"/>
    <s v="Private"/>
    <n v="420"/>
    <s v="Private"/>
    <s v="â‚¬72,666 - â‚¬159,901"/>
    <s v="['database', 'machine learning', 'python']"/>
    <x v="13"/>
    <n v="116283.5"/>
  </r>
  <r>
    <x v="0"/>
    <x v="1"/>
    <s v="Unknown"/>
    <s v="company_366"/>
    <x v="132"/>
    <s v="14 days ago"/>
    <x v="101"/>
    <x v="2"/>
    <s v="Private"/>
    <n v="180"/>
    <s v="Private"/>
    <s v="â‚¬100,472 - â‚¬146,138"/>
    <s v="['pytorch', 'spark', 'aws', 'r', 'python', 'scikit-learn', 'scala', 'sql', 'machine learning', 'gcp', 'azure', 'tensorflow']"/>
    <x v="8"/>
    <n v="123305"/>
  </r>
  <r>
    <x v="0"/>
    <x v="0"/>
    <s v="on-site"/>
    <s v="company_367"/>
    <x v="4"/>
    <s v="a month ago"/>
    <x v="5"/>
    <x v="2"/>
    <s v="Private"/>
    <n v="420"/>
    <s v="Private"/>
    <s v="â‚¬144,307 - â‚¬167,140"/>
    <s v="[]"/>
    <x v="2"/>
    <n v="155723.5"/>
  </r>
  <r>
    <x v="0"/>
    <x v="0"/>
    <s v="Unknown"/>
    <s v="company_185"/>
    <x v="133"/>
    <s v="15 days ago"/>
    <x v="47"/>
    <x v="2"/>
    <s v="Public"/>
    <n v="97070"/>
    <s v="â‚¬75.20B"/>
    <s v="â‚¬125,495 - â‚¬188,149"/>
    <s v="['aws', 'gcp', 'azure']"/>
    <x v="1"/>
    <n v="156822"/>
  </r>
  <r>
    <x v="1"/>
    <x v="0"/>
    <s v="Unknown"/>
    <s v="company_371"/>
    <x v="134"/>
    <s v="7 days ago"/>
    <x v="93"/>
    <x v="5"/>
    <s v="Private"/>
    <n v="250"/>
    <s v="Private"/>
    <s v="â‚¬190,891 - â‚¬212,811"/>
    <s v="['pytorch', 'python', 'machine learning', 'deep learning', 'tensorflow']"/>
    <x v="10"/>
    <n v="201851"/>
  </r>
  <r>
    <x v="0"/>
    <x v="0"/>
    <s v="hybrid"/>
    <s v="company_146"/>
    <x v="135"/>
    <s v="11 days ago"/>
    <x v="9"/>
    <x v="3"/>
    <s v="Private"/>
    <n v="780"/>
    <s v="â‚¬11.85B"/>
    <s v="â‚¬153,447 - â‚¬210,986"/>
    <s v="[]"/>
    <x v="17"/>
    <n v="182216.5"/>
  </r>
  <r>
    <x v="1"/>
    <x v="0"/>
    <s v="on-site"/>
    <s v="company_178"/>
    <x v="70"/>
    <s v="15 days ago"/>
    <x v="55"/>
    <x v="2"/>
    <s v="Public"/>
    <n v="10100"/>
    <s v="â‚¬36.69B"/>
    <s v="â‚¬63,941"/>
    <s v="['java', 'machine learning', 'r', 'python']"/>
    <x v="1"/>
    <n v="63941"/>
  </r>
  <r>
    <x v="0"/>
    <x v="2"/>
    <s v="remote"/>
    <s v="company_112"/>
    <x v="8"/>
    <s v="4 days ago"/>
    <x v="9"/>
    <x v="2"/>
    <s v="Private"/>
    <n v="420"/>
    <s v="â‚¬4.85B"/>
    <s v="â‚¬213,594"/>
    <s v="[]"/>
    <x v="16"/>
    <n v="213594"/>
  </r>
  <r>
    <x v="1"/>
    <x v="1"/>
    <s v="Unknown"/>
    <s v="company_326"/>
    <x v="119"/>
    <s v="a year ago"/>
    <x v="91"/>
    <x v="2"/>
    <s v="Private"/>
    <n v="910"/>
    <s v="â‚¬7.66B"/>
    <s v="â‚¬44,202"/>
    <s v="[]"/>
    <x v="2"/>
    <n v="44202"/>
  </r>
  <r>
    <x v="0"/>
    <x v="0"/>
    <s v="hybrid"/>
    <s v="company_382"/>
    <x v="136"/>
    <s v="a month ago"/>
    <x v="27"/>
    <x v="3"/>
    <s v="Private"/>
    <n v="660"/>
    <s v="â‚¬2.03B"/>
    <s v="â‚¬73,068 - â‚¬91,335"/>
    <s v="['aws', 'python', 'sql', 'machine learning', 'deep learning']"/>
    <x v="2"/>
    <n v="82201.5"/>
  </r>
  <r>
    <x v="0"/>
    <x v="2"/>
    <s v="on-site"/>
    <s v="company_383"/>
    <x v="137"/>
    <s v="2 months ago"/>
    <x v="102"/>
    <x v="2"/>
    <s v="Private"/>
    <n v="3800"/>
    <s v="Private"/>
    <s v="â‚¬46,528 - â‚¬76,222"/>
    <s v="[]"/>
    <x v="13"/>
    <n v="61375"/>
  </r>
  <r>
    <x v="0"/>
    <x v="0"/>
    <s v="on-site"/>
    <s v="company_071"/>
    <x v="31"/>
    <s v="5 days ago"/>
    <x v="28"/>
    <x v="2"/>
    <s v="Public"/>
    <n v="9020"/>
    <s v="Public"/>
    <s v="â‚¬9,140"/>
    <s v="['r', 'python', 'sql', 'hadoop', 'machine learning']"/>
    <x v="15"/>
    <n v="9140"/>
  </r>
  <r>
    <x v="0"/>
    <x v="0"/>
    <s v="on-site"/>
    <s v="company_384"/>
    <x v="138"/>
    <s v="15 days ago"/>
    <x v="103"/>
    <x v="2"/>
    <s v="Public"/>
    <n v="3780"/>
    <s v="â‚¬25.21B"/>
    <s v="â‚¬147,050 - â‚¬196,370"/>
    <s v="['sql', 'r', 'python']"/>
    <x v="1"/>
    <n v="171710"/>
  </r>
  <r>
    <x v="1"/>
    <x v="2"/>
    <s v="hybrid"/>
    <s v="company_387"/>
    <x v="139"/>
    <s v="a day ago"/>
    <x v="9"/>
    <x v="2"/>
    <s v="Private"/>
    <n v="900"/>
    <s v="â‚¬8.62B"/>
    <s v="â‚¬144,491"/>
    <s v="[]"/>
    <x v="2"/>
    <n v="144491"/>
  </r>
  <r>
    <x v="0"/>
    <x v="0"/>
    <s v="remote"/>
    <s v="company_176"/>
    <x v="8"/>
    <s v="11 days ago"/>
    <x v="46"/>
    <x v="2"/>
    <s v="Public"/>
    <n v="2780"/>
    <s v="Public"/>
    <s v="â‚¬146,050 - â‚¬230,989"/>
    <s v="[]"/>
    <x v="17"/>
    <n v="188519.5"/>
  </r>
  <r>
    <x v="0"/>
    <x v="0"/>
    <s v="on-site"/>
    <s v="company_389"/>
    <x v="7"/>
    <s v="3 months ago"/>
    <x v="104"/>
    <x v="2"/>
    <s v="Public"/>
    <n v="3760"/>
    <s v="â‚¬37.49B"/>
    <s v="â‚¬181,756 - â‚¬258,932"/>
    <s v="['python']"/>
    <x v="4"/>
    <n v="220344"/>
  </r>
  <r>
    <x v="0"/>
    <x v="0"/>
    <s v="remote"/>
    <s v="company_391"/>
    <x v="8"/>
    <s v="7 days ago"/>
    <x v="105"/>
    <x v="2"/>
    <s v="Private"/>
    <n v="270"/>
    <s v="Private"/>
    <s v="â‚¬132,438 - â‚¬159,838"/>
    <s v="[]"/>
    <x v="10"/>
    <n v="146138"/>
  </r>
  <r>
    <x v="0"/>
    <x v="0"/>
    <s v="on-site"/>
    <s v="company_392"/>
    <x v="82"/>
    <s v="a month ago"/>
    <x v="106"/>
    <x v="3"/>
    <s v="Public"/>
    <n v="62010"/>
    <s v="â‚¬35.07B"/>
    <s v="â‚¬157,017 - â‚¬263,794"/>
    <s v="['spark', 'aws', 'python', 'sql', 'machine learning', 'gcp', 'azure']"/>
    <x v="2"/>
    <n v="210405.5"/>
  </r>
  <r>
    <x v="0"/>
    <x v="4"/>
    <s v="on-site"/>
    <s v="company_395"/>
    <x v="131"/>
    <s v="6 days ago"/>
    <x v="107"/>
    <x v="0"/>
    <s v="Public"/>
    <n v="55120"/>
    <s v="â‚¬36.18B"/>
    <s v="â‚¬121,479 - â‚¬138,650"/>
    <s v="['spark', 'aws', 'r', 'python', 'scala', 'sql', 'database', 'machine learning']"/>
    <x v="6"/>
    <n v="130064.5"/>
  </r>
  <r>
    <x v="0"/>
    <x v="0"/>
    <s v="on-site"/>
    <s v="company_316"/>
    <x v="115"/>
    <s v="15 days ago"/>
    <x v="88"/>
    <x v="5"/>
    <s v="Public"/>
    <n v="37970"/>
    <s v="Public"/>
    <s v="â‚¬57,318"/>
    <s v="['machine learning', 'r', 'python']"/>
    <x v="1"/>
    <n v="57318"/>
  </r>
  <r>
    <x v="0"/>
    <x v="0"/>
    <s v="on-site"/>
    <s v="company_367"/>
    <x v="4"/>
    <s v="a month ago"/>
    <x v="5"/>
    <x v="2"/>
    <s v="Private"/>
    <n v="420"/>
    <s v="Private"/>
    <s v="â‚¬216,463 - â‚¬242,949"/>
    <s v="[]"/>
    <x v="2"/>
    <n v="229706"/>
  </r>
  <r>
    <x v="0"/>
    <x v="2"/>
    <s v="hybrid"/>
    <s v="company_403"/>
    <x v="140"/>
    <s v="5 days ago"/>
    <x v="8"/>
    <x v="0"/>
    <s v="Public"/>
    <n v="17010"/>
    <s v="Public"/>
    <s v="â‚¬130,609 - â‚¬140,656"/>
    <s v="[]"/>
    <x v="15"/>
    <n v="135632.5"/>
  </r>
  <r>
    <x v="0"/>
    <x v="0"/>
    <s v="Unknown"/>
    <s v="company_404"/>
    <x v="30"/>
    <s v="10 days ago"/>
    <x v="108"/>
    <x v="2"/>
    <s v="Public"/>
    <n v="8270"/>
    <s v="â‚¬31.37B"/>
    <s v="â‚¬87,412 - â‚¬139,463"/>
    <s v="['aws', 'r', 'python', 'linux', 'sql', 'machine learning', 'deep learning', 'azure']"/>
    <x v="19"/>
    <n v="113437.5"/>
  </r>
  <r>
    <x v="0"/>
    <x v="0"/>
    <s v="remote"/>
    <s v="company_337"/>
    <x v="13"/>
    <s v="a month ago"/>
    <x v="94"/>
    <x v="3"/>
    <s v="Public"/>
    <n v="7290"/>
    <s v="Public"/>
    <s v="â‚¬89,623 - â‚¬152,356"/>
    <s v="['r', 'python', 'sql', 'machine learning', 'database', 'deep learning']"/>
    <x v="2"/>
    <n v="120989.5"/>
  </r>
  <r>
    <x v="1"/>
    <x v="4"/>
    <s v="on-site"/>
    <s v="company_336"/>
    <x v="5"/>
    <s v="14 days ago"/>
    <x v="93"/>
    <x v="2"/>
    <s v="Private"/>
    <n v="14060"/>
    <s v="Private"/>
    <s v="â‚¬128,871 - â‚¬239,383"/>
    <s v="['deep learning', 'machine learning', 'r', 'python']"/>
    <x v="8"/>
    <n v="184127"/>
  </r>
  <r>
    <x v="0"/>
    <x v="0"/>
    <s v="on-site"/>
    <s v="company_410"/>
    <x v="4"/>
    <s v="4 months ago"/>
    <x v="9"/>
    <x v="2"/>
    <s v="Private"/>
    <n v="320"/>
    <s v="Private"/>
    <s v="â‚¬28,130"/>
    <s v="[]"/>
    <x v="16"/>
    <n v="28130"/>
  </r>
  <r>
    <x v="0"/>
    <x v="4"/>
    <s v="on-site"/>
    <s v="company_411"/>
    <x v="20"/>
    <s v="15 days ago"/>
    <x v="109"/>
    <x v="2"/>
    <s v="Public"/>
    <n v="9770"/>
    <s v="Public"/>
    <s v="â‚¬130,667 - â‚¬241,897"/>
    <s v="['spark', 'aws', 'python', 'airflow', 'sql', 'gcp', 'machine learning']"/>
    <x v="1"/>
    <n v="186282"/>
  </r>
  <r>
    <x v="0"/>
    <x v="0"/>
    <s v="on-site"/>
    <s v="company_412"/>
    <x v="9"/>
    <s v="a month ago"/>
    <x v="110"/>
    <x v="3"/>
    <s v="Private"/>
    <n v="1280"/>
    <s v="Private"/>
    <s v="â‚¬67,682 - â‚¬101,475"/>
    <s v="['pandas', 'aws', 'scikit-learn', 'python', 'sql', 'machine learning', 'gcp', 'azure', 'matplotlib']"/>
    <x v="2"/>
    <n v="84578.5"/>
  </r>
  <r>
    <x v="0"/>
    <x v="0"/>
    <s v="hybrid"/>
    <s v="company_414"/>
    <x v="141"/>
    <s v="15 days ago"/>
    <x v="111"/>
    <x v="2"/>
    <s v="Public"/>
    <n v="351"/>
    <s v="Public"/>
    <s v="â‚¬91,337 - â‚¬137,003"/>
    <s v="['sql', 'aws', 'r', 'python']"/>
    <x v="1"/>
    <n v="114170"/>
  </r>
  <r>
    <x v="0"/>
    <x v="0"/>
    <s v="hybrid"/>
    <s v="company_417"/>
    <x v="49"/>
    <s v="a month ago"/>
    <x v="3"/>
    <x v="2"/>
    <s v="Public"/>
    <n v="98130"/>
    <s v="â‚¬167.14B"/>
    <s v="â‚¬32,665"/>
    <s v="['pandas', 'numpy', 'pytorch', 'aws', 'r', 'python', 'scikit-learn', 'scipy', 'sql', 'machine learning', 'deep learning', 'keras', 'azure', 'matplotlib', 'tensorflow', 'tableau']"/>
    <x v="2"/>
    <n v="32665"/>
  </r>
  <r>
    <x v="0"/>
    <x v="0"/>
    <s v="remote"/>
    <s v="company_418"/>
    <x v="142"/>
    <s v="7 days ago"/>
    <x v="23"/>
    <x v="3"/>
    <s v="Unknown"/>
    <n v="2810"/>
    <s v="Nonprofit"/>
    <s v="â‚¬88,967 - â‚¬166,051"/>
    <s v="['tableau', 'sql', 'r', 'python']"/>
    <x v="10"/>
    <n v="127509"/>
  </r>
  <r>
    <x v="0"/>
    <x v="4"/>
    <s v="remote"/>
    <s v="company_421"/>
    <x v="143"/>
    <s v="15 days ago"/>
    <x v="112"/>
    <x v="2"/>
    <s v="Unknown"/>
    <s v="Private"/>
    <s v="Not Mentioned"/>
    <s v="â‚¬25,212"/>
    <s v="['sql', 'machine learning', 'python']"/>
    <x v="1"/>
    <n v="25212"/>
  </r>
  <r>
    <x v="0"/>
    <x v="0"/>
    <s v="Unknown"/>
    <s v="company_422"/>
    <x v="144"/>
    <s v="a month ago"/>
    <x v="113"/>
    <x v="2"/>
    <s v="Public"/>
    <n v="2520"/>
    <s v="Public"/>
    <s v="â‚¬105,439"/>
    <s v="['sql', 'r', 'python']"/>
    <x v="2"/>
    <n v="105439"/>
  </r>
  <r>
    <x v="0"/>
    <x v="0"/>
    <s v="hybrid"/>
    <s v="company_423"/>
    <x v="35"/>
    <s v="a month ago"/>
    <x v="5"/>
    <x v="2"/>
    <s v="Private"/>
    <n v="500"/>
    <s v="Private"/>
    <s v="â‚¬118,741 - â‚¬137,008"/>
    <s v="[]"/>
    <x v="2"/>
    <n v="127874.5"/>
  </r>
  <r>
    <x v="0"/>
    <x v="0"/>
    <s v="remote"/>
    <s v="company_425"/>
    <x v="145"/>
    <s v="25 days ago"/>
    <x v="62"/>
    <x v="2"/>
    <s v="Private"/>
    <n v="5560"/>
    <s v="Private"/>
    <s v="â‚¬55,995"/>
    <s v="['spark', 'aws', 'powerbi', 'r', 'python', 'docker', 'linux', 'sql', 'azure', 'tableau']"/>
    <x v="11"/>
    <n v="55995"/>
  </r>
  <r>
    <x v="0"/>
    <x v="1"/>
    <s v="hybrid"/>
    <s v="company_426"/>
    <x v="146"/>
    <s v="2 months ago"/>
    <x v="59"/>
    <x v="2"/>
    <s v="Private"/>
    <n v="126"/>
    <s v="Private"/>
    <s v="â‚¬186,327 - â‚¬261,220"/>
    <s v="[]"/>
    <x v="13"/>
    <n v="223773.5"/>
  </r>
  <r>
    <x v="0"/>
    <x v="0"/>
    <s v="hybrid"/>
    <s v="company_428"/>
    <x v="26"/>
    <s v="4 days ago"/>
    <x v="9"/>
    <x v="2"/>
    <s v="Private"/>
    <n v="45"/>
    <s v="Private"/>
    <s v="â‚¬210,073 - â‚¬251,172"/>
    <s v="['sql', 'python']"/>
    <x v="16"/>
    <n v="230622.5"/>
  </r>
  <r>
    <x v="0"/>
    <x v="2"/>
    <s v="hybrid"/>
    <s v="company_433"/>
    <x v="76"/>
    <s v="a month ago"/>
    <x v="17"/>
    <x v="2"/>
    <s v="Private"/>
    <n v="56"/>
    <s v="Private"/>
    <s v="â‚¬36,542 - â‚¬54,809"/>
    <s v="[]"/>
    <x v="2"/>
    <n v="45675.5"/>
  </r>
  <r>
    <x v="0"/>
    <x v="0"/>
    <s v="on-site"/>
    <s v="company_435"/>
    <x v="19"/>
    <s v="5 days ago"/>
    <x v="17"/>
    <x v="3"/>
    <s v="Private"/>
    <n v="45050"/>
    <s v="Private"/>
    <s v="â‚¬94,256 - â‚¬175,359"/>
    <s v="['machine learning', 'python']"/>
    <x v="15"/>
    <n v="134807.5"/>
  </r>
  <r>
    <x v="0"/>
    <x v="0"/>
    <s v="Unknown"/>
    <s v="company_069"/>
    <x v="30"/>
    <s v="5 days ago"/>
    <x v="27"/>
    <x v="2"/>
    <s v="Private"/>
    <n v="210"/>
    <s v="Private"/>
    <s v="â‚¬87,407"/>
    <s v="['spark', 'aws', 'python', 'sql', 'machine learning', 'gcp', 'azure']"/>
    <x v="15"/>
    <n v="87407"/>
  </r>
  <r>
    <x v="0"/>
    <x v="2"/>
    <s v="on-site"/>
    <s v="company_438"/>
    <x v="147"/>
    <s v="2 months ago"/>
    <x v="9"/>
    <x v="2"/>
    <s v="Private"/>
    <n v="150"/>
    <s v="Private"/>
    <s v="â‚¬154,356"/>
    <s v="[]"/>
    <x v="13"/>
    <n v="154356"/>
  </r>
  <r>
    <x v="0"/>
    <x v="0"/>
    <s v="Unknown"/>
    <s v="company_440"/>
    <x v="148"/>
    <s v="a month ago"/>
    <x v="69"/>
    <x v="2"/>
    <s v="Public"/>
    <n v="1800"/>
    <s v="Public"/>
    <s v="â‚¬109,604"/>
    <s v="['aws', 'scikit-learn', 'python', 'sql', 'machine learning', 'deep learning', 'tensorflow']"/>
    <x v="2"/>
    <n v="109604"/>
  </r>
  <r>
    <x v="0"/>
    <x v="1"/>
    <s v="Unknown"/>
    <s v="company_449"/>
    <x v="149"/>
    <s v="6 days ago"/>
    <x v="5"/>
    <x v="2"/>
    <s v="Private"/>
    <n v="1020"/>
    <s v="Private"/>
    <s v="â‚¬141,571 - â‚¬164,405"/>
    <s v="['tableau', 'sql', 'r', 'python']"/>
    <x v="6"/>
    <n v="152988"/>
  </r>
  <r>
    <x v="0"/>
    <x v="0"/>
    <s v="on-site"/>
    <s v="company_450"/>
    <x v="150"/>
    <s v="3 months ago"/>
    <x v="114"/>
    <x v="2"/>
    <s v="Private"/>
    <n v="45"/>
    <s v="Private"/>
    <s v="â‚¬89,511 - â‚¬196,370"/>
    <s v="[]"/>
    <x v="4"/>
    <n v="142940.5"/>
  </r>
  <r>
    <x v="0"/>
    <x v="4"/>
    <s v="remote"/>
    <s v="company_421"/>
    <x v="151"/>
    <s v="14 days ago"/>
    <x v="112"/>
    <x v="2"/>
    <s v="Unknown"/>
    <s v="Private"/>
    <s v="Not Mentioned"/>
    <s v="â‚¬25,214"/>
    <s v="['sql', 'machine learning', 'python']"/>
    <x v="8"/>
    <n v="25214"/>
  </r>
  <r>
    <x v="0"/>
    <x v="4"/>
    <s v="on-site"/>
    <s v="company_456"/>
    <x v="152"/>
    <s v="19 days ago"/>
    <x v="115"/>
    <x v="5"/>
    <s v="Unknown"/>
    <n v="55010"/>
    <s v="Nonprofit"/>
    <s v="â‚¬115,891 - â‚¬172,882"/>
    <s v="[]"/>
    <x v="7"/>
    <n v="144386.5"/>
  </r>
  <r>
    <x v="0"/>
    <x v="0"/>
    <s v="Unknown"/>
    <s v="company_457"/>
    <x v="153"/>
    <s v="5 days ago"/>
    <x v="110"/>
    <x v="2"/>
    <s v="Private"/>
    <n v="420"/>
    <s v="Private"/>
    <s v="â‚¬68,504 - â‚¬84,944"/>
    <s v="['git', 'r', 'python', 'docker', 'sql', 'machine learning']"/>
    <x v="15"/>
    <n v="76724"/>
  </r>
  <r>
    <x v="0"/>
    <x v="4"/>
    <s v="on-site"/>
    <s v="company_460"/>
    <x v="130"/>
    <s v="a month ago"/>
    <x v="116"/>
    <x v="0"/>
    <s v="Public"/>
    <n v="7100"/>
    <s v="Public"/>
    <s v="â‚¬122,847 - â‚¬196,370"/>
    <s v="['aws', 'git', 'python', 'sql', 'machine learning']"/>
    <x v="2"/>
    <n v="159608.5"/>
  </r>
  <r>
    <x v="0"/>
    <x v="0"/>
    <s v="on-site"/>
    <s v="company_211"/>
    <x v="154"/>
    <s v="3 months ago"/>
    <x v="62"/>
    <x v="5"/>
    <s v="Public"/>
    <n v="82030"/>
    <s v="Public"/>
    <s v="â‚¬27,524"/>
    <s v="['pytorch', 'python', 'docker', 'machine learning', 'kubernetes', 'deep learning', 'tensorflow']"/>
    <x v="4"/>
    <n v="27524"/>
  </r>
  <r>
    <x v="0"/>
    <x v="0"/>
    <s v="on-site"/>
    <s v="company_438"/>
    <x v="147"/>
    <s v="23 days ago"/>
    <x v="9"/>
    <x v="2"/>
    <s v="Private"/>
    <n v="150"/>
    <s v="Private"/>
    <s v="â‚¬151,203"/>
    <s v="[]"/>
    <x v="22"/>
    <n v="151203"/>
  </r>
  <r>
    <x v="0"/>
    <x v="1"/>
    <s v="hybrid"/>
    <s v="company_461"/>
    <x v="49"/>
    <s v="a month ago"/>
    <x v="17"/>
    <x v="3"/>
    <s v="Private"/>
    <n v="7030"/>
    <s v="Private"/>
    <s v="â‚¬14,064"/>
    <s v="['aws', 'machine learning', 'gcp', 'azure', 'deep learning']"/>
    <x v="2"/>
    <n v="14064"/>
  </r>
  <r>
    <x v="1"/>
    <x v="0"/>
    <s v="on-site"/>
    <s v="company_465"/>
    <x v="155"/>
    <s v="14 days ago"/>
    <x v="9"/>
    <x v="2"/>
    <s v="Private"/>
    <n v="3570"/>
    <s v="Private"/>
    <s v="â‚¬120,104 - â‚¬200,112"/>
    <s v="['deep learning', 'aws', 'machine learning', 'python']"/>
    <x v="8"/>
    <n v="160108"/>
  </r>
  <r>
    <x v="1"/>
    <x v="4"/>
    <s v="on-site"/>
    <s v="company_025"/>
    <x v="156"/>
    <s v="12 days ago"/>
    <x v="117"/>
    <x v="2"/>
    <s v="Public"/>
    <n v="309170"/>
    <s v="Public"/>
    <s v="â‚¬146,134 - â‚¬164,401"/>
    <s v="['aws', 'gcp', 'azure']"/>
    <x v="14"/>
    <n v="155267.5"/>
  </r>
  <r>
    <x v="0"/>
    <x v="0"/>
    <s v="Unknown"/>
    <s v="company_468"/>
    <x v="157"/>
    <s v="14 days ago"/>
    <x v="118"/>
    <x v="6"/>
    <s v="Unknown"/>
    <n v="12802"/>
    <s v="Education"/>
    <s v="â‚¬114,354 - â‚¬192,992"/>
    <s v="['git', 'r', 'python', 'sql', 'machine learning', 'database', 'deep learning']"/>
    <x v="8"/>
    <n v="153673"/>
  </r>
  <r>
    <x v="0"/>
    <x v="0"/>
    <s v="on-site"/>
    <s v="company_474"/>
    <x v="158"/>
    <s v="6 days ago"/>
    <x v="119"/>
    <x v="2"/>
    <s v="Private"/>
    <n v="5540"/>
    <s v="Private"/>
    <s v="â‚¬92,252 - â‚¬170,573"/>
    <s v="['amazon', 'pytorch', 'aws', 'python', 'java', 'machine learning', 'deep learning', 'keras', 'azure', 'tensorflow']"/>
    <x v="6"/>
    <n v="131412.5"/>
  </r>
  <r>
    <x v="0"/>
    <x v="0"/>
    <s v="remote"/>
    <s v="company_475"/>
    <x v="159"/>
    <s v="19 days ago"/>
    <x v="93"/>
    <x v="5"/>
    <s v="Public"/>
    <n v="660"/>
    <s v="Public"/>
    <s v="â‚¬164,408 - â‚¬211,900"/>
    <s v="['pandas', 'numpy', 'git', 'r', 'python', 'scikit-learn', 'machine learning', 'matplotlib']"/>
    <x v="7"/>
    <n v="188154"/>
  </r>
  <r>
    <x v="0"/>
    <x v="2"/>
    <s v="on-site"/>
    <s v="company_477"/>
    <x v="160"/>
    <s v="5 months ago"/>
    <x v="46"/>
    <x v="2"/>
    <s v="Private"/>
    <n v="310"/>
    <s v="Private"/>
    <s v="â‚¬187,241"/>
    <s v="[]"/>
    <x v="15"/>
    <n v="187241"/>
  </r>
  <r>
    <x v="1"/>
    <x v="0"/>
    <s v="Unknown"/>
    <s v="company_142"/>
    <x v="161"/>
    <s v="a year ago"/>
    <x v="28"/>
    <x v="2"/>
    <s v="Unknown"/>
    <s v="Private"/>
    <s v="Not Mentioned"/>
    <s v="â‚¬146,141 - â‚¬255,740"/>
    <s v="['pytorch', 'machine learning']"/>
    <x v="2"/>
    <n v="200940.5"/>
  </r>
  <r>
    <x v="0"/>
    <x v="4"/>
    <s v="hybrid"/>
    <s v="company_480"/>
    <x v="162"/>
    <s v="a month ago"/>
    <x v="120"/>
    <x v="5"/>
    <s v="Unknown"/>
    <n v="4104"/>
    <s v="Education"/>
    <s v="â‚¬75,814 - â‚¬119,654"/>
    <s v="['pytorch', 'r', 'python', 'machine learning', 'deep learning', 'tensorflow']"/>
    <x v="2"/>
    <n v="97734"/>
  </r>
  <r>
    <x v="0"/>
    <x v="0"/>
    <s v="on-site"/>
    <s v="company_482"/>
    <x v="163"/>
    <s v="22 days ago"/>
    <x v="8"/>
    <x v="3"/>
    <s v="Private"/>
    <n v="45070"/>
    <s v="Private"/>
    <s v="â‚¬109,600"/>
    <s v="['deep learning', 'machine learning']"/>
    <x v="20"/>
    <n v="109600"/>
  </r>
  <r>
    <x v="0"/>
    <x v="0"/>
    <s v="hybrid"/>
    <s v="company_340"/>
    <x v="117"/>
    <s v="2 months ago"/>
    <x v="5"/>
    <x v="2"/>
    <s v="Private"/>
    <n v="750"/>
    <s v="Private"/>
    <s v="â‚¬112,803 - â‚¬194,408"/>
    <s v="['sql', 'machine learning', 'r', 'python']"/>
    <x v="13"/>
    <n v="153605.5"/>
  </r>
  <r>
    <x v="0"/>
    <x v="3"/>
    <s v="on-site"/>
    <s v="company_484"/>
    <x v="33"/>
    <s v="7 days ago"/>
    <x v="31"/>
    <x v="2"/>
    <s v="Private"/>
    <n v="1050"/>
    <s v="Private"/>
    <s v="â‚¬81,294 - â‚¬109,607"/>
    <s v="['sql', 'machine learning', 'tableau']"/>
    <x v="10"/>
    <n v="95450.5"/>
  </r>
  <r>
    <x v="0"/>
    <x v="0"/>
    <s v="remote"/>
    <s v="company_485"/>
    <x v="32"/>
    <s v="14 days ago"/>
    <x v="88"/>
    <x v="2"/>
    <s v="Private"/>
    <n v="550"/>
    <s v="Private"/>
    <s v="â‚¬127,869 - â‚¬164,402"/>
    <s v="['pytorch', 'scikit-learn', 'python', 'java', 'machine learning', 'tensorflow']"/>
    <x v="8"/>
    <n v="146135.5"/>
  </r>
  <r>
    <x v="0"/>
    <x v="0"/>
    <s v="Unknown"/>
    <s v="company_486"/>
    <x v="14"/>
    <s v="a month ago"/>
    <x v="3"/>
    <x v="2"/>
    <s v="Private"/>
    <n v="1800"/>
    <s v="Private"/>
    <s v="â‚¬19,988"/>
    <s v="['pytorch', 'aws', 'python', 'docker', 'gcp', 'kubernetes', 'azure']"/>
    <x v="2"/>
    <n v="19988"/>
  </r>
  <r>
    <x v="0"/>
    <x v="0"/>
    <s v="hybrid"/>
    <s v="company_313"/>
    <x v="42"/>
    <s v="7 days ago"/>
    <x v="69"/>
    <x v="3"/>
    <s v="Public"/>
    <n v="29480"/>
    <s v="Public"/>
    <s v="â‚¬73,457"/>
    <s v="['machine learning', 'python']"/>
    <x v="10"/>
    <n v="73457"/>
  </r>
  <r>
    <x v="0"/>
    <x v="0"/>
    <s v="Unknown"/>
    <s v="company_488"/>
    <x v="164"/>
    <s v="25 days ago"/>
    <x v="8"/>
    <x v="5"/>
    <s v="Unknown"/>
    <n v="4310"/>
    <s v="Nonprofit"/>
    <s v="â‚¬138,543 - â‚¬173,111"/>
    <s v="['r', 'python', 'sql', 'machine learning', 'tableau']"/>
    <x v="11"/>
    <n v="155827"/>
  </r>
  <r>
    <x v="0"/>
    <x v="3"/>
    <s v="hybrid"/>
    <s v="company_490"/>
    <x v="165"/>
    <s v="3 days ago"/>
    <x v="121"/>
    <x v="2"/>
    <s v="Public"/>
    <n v="83550"/>
    <s v="Public"/>
    <s v="â‚¬78,825 - â‚¬142,210"/>
    <s v="['sql', 'machine learning', 'r', 'python']"/>
    <x v="4"/>
    <n v="110517.5"/>
  </r>
  <r>
    <x v="0"/>
    <x v="4"/>
    <s v="Unknown"/>
    <s v="company_268"/>
    <x v="99"/>
    <s v="2 days ago"/>
    <x v="75"/>
    <x v="3"/>
    <s v="Public"/>
    <n v="30830"/>
    <s v="Public"/>
    <s v="â‚¬67,044"/>
    <s v="['spark', 'git', 'python', 'sql', 'hadoop']"/>
    <x v="13"/>
    <n v="67044"/>
  </r>
  <r>
    <x v="0"/>
    <x v="1"/>
    <s v="hybrid"/>
    <s v="company_499"/>
    <x v="166"/>
    <s v="4 days ago"/>
    <x v="5"/>
    <x v="3"/>
    <s v="Public"/>
    <n v="51750"/>
    <s v="Public"/>
    <s v="â‚¬109,606"/>
    <s v="['sql', 'kubernetes', 'machine learning', 'python']"/>
    <x v="16"/>
    <n v="109606"/>
  </r>
  <r>
    <x v="0"/>
    <x v="0"/>
    <s v="hybrid"/>
    <s v="company_500"/>
    <x v="167"/>
    <s v="5 months ago"/>
    <x v="68"/>
    <x v="2"/>
    <s v="Private"/>
    <n v="75"/>
    <s v="Private"/>
    <s v="â‚¬5,940 - â‚¬8,223"/>
    <s v="['aws', 'database', 'sql', 'machine learning', 'gcp', 'kubernetes', 'deep learning', 'azure']"/>
    <x v="15"/>
    <n v="7081.5"/>
  </r>
  <r>
    <x v="0"/>
    <x v="4"/>
    <s v="on-site"/>
    <s v="company_503"/>
    <x v="168"/>
    <s v="14 days ago"/>
    <x v="122"/>
    <x v="2"/>
    <s v="Private"/>
    <n v="7070"/>
    <s v="Private"/>
    <s v="â‚¬28,878 - â‚¬39,713"/>
    <s v="[]"/>
    <x v="8"/>
    <n v="34295.5"/>
  </r>
  <r>
    <x v="0"/>
    <x v="0"/>
    <s v="Unknown"/>
    <s v="company_513"/>
    <x v="169"/>
    <s v="2 days ago"/>
    <x v="123"/>
    <x v="2"/>
    <s v="Private"/>
    <n v="90"/>
    <s v="Private"/>
    <s v="â‚¬146,134 - â‚¬182,667"/>
    <s v="['spark', 'r', 'python', 'sql', 'machine learning']"/>
    <x v="13"/>
    <n v="164400.5"/>
  </r>
  <r>
    <x v="0"/>
    <x v="2"/>
    <s v="remote"/>
    <s v="company_516"/>
    <x v="8"/>
    <s v="2 days ago"/>
    <x v="31"/>
    <x v="2"/>
    <s v="Private"/>
    <n v="126"/>
    <s v="Private"/>
    <s v="â‚¬127,874 - â‚¬141,573"/>
    <s v="[]"/>
    <x v="13"/>
    <n v="134723.5"/>
  </r>
  <r>
    <x v="0"/>
    <x v="1"/>
    <s v="remote"/>
    <s v="company_517"/>
    <x v="8"/>
    <s v="7 days ago"/>
    <x v="124"/>
    <x v="2"/>
    <s v="Private"/>
    <n v="750"/>
    <s v="Private"/>
    <s v="â‚¬255,738"/>
    <s v="[]"/>
    <x v="10"/>
    <n v="255738"/>
  </r>
  <r>
    <x v="0"/>
    <x v="0"/>
    <s v="Unknown"/>
    <s v="company_521"/>
    <x v="170"/>
    <s v="13 days ago"/>
    <x v="9"/>
    <x v="2"/>
    <s v="Private"/>
    <n v="524"/>
    <s v="Private"/>
    <s v="â‚¬114,175 - â‚¬155,274"/>
    <s v="['pandas', 'sql', 'python']"/>
    <x v="9"/>
    <n v="134724.5"/>
  </r>
  <r>
    <x v="0"/>
    <x v="0"/>
    <s v="remote"/>
    <s v="company_523"/>
    <x v="116"/>
    <s v="3 months ago"/>
    <x v="27"/>
    <x v="5"/>
    <s v="Public"/>
    <n v="6470"/>
    <s v="Public"/>
    <s v="â‚¬82,480 - â‚¬137,371"/>
    <s v="['pandas', 'numpy', 'aws', 'scikit-learn', 'python', 'scipy', 'database', 'matplotlib']"/>
    <x v="4"/>
    <n v="109925.5"/>
  </r>
  <r>
    <x v="0"/>
    <x v="0"/>
    <s v="on-site"/>
    <s v="company_524"/>
    <x v="61"/>
    <s v="4 days ago"/>
    <x v="94"/>
    <x v="2"/>
    <s v="Private"/>
    <n v="8520"/>
    <s v="Private"/>
    <s v="â‚¬97,168 - â‚¬107,796"/>
    <s v="['amazon', 'azure', 'machine learning']"/>
    <x v="16"/>
    <n v="102482"/>
  </r>
  <r>
    <x v="0"/>
    <x v="0"/>
    <s v="Unknown"/>
    <s v="company_527"/>
    <x v="171"/>
    <s v="7 days ago"/>
    <x v="125"/>
    <x v="5"/>
    <s v="Public"/>
    <n v="55215"/>
    <s v="Public"/>
    <s v="â‚¬131,088"/>
    <s v="['deep learning']"/>
    <x v="10"/>
    <n v="131088"/>
  </r>
  <r>
    <x v="1"/>
    <x v="2"/>
    <s v="hybrid"/>
    <s v="company_532"/>
    <x v="35"/>
    <s v="23 days ago"/>
    <x v="5"/>
    <x v="2"/>
    <s v="Private"/>
    <n v="180"/>
    <s v="Private"/>
    <s v="â‚¬173,536 - â‚¬228,335"/>
    <s v="[]"/>
    <x v="22"/>
    <n v="200935.5"/>
  </r>
  <r>
    <x v="0"/>
    <x v="0"/>
    <s v="remote"/>
    <s v="company_540"/>
    <x v="8"/>
    <s v="8 days ago"/>
    <x v="31"/>
    <x v="2"/>
    <s v="Private"/>
    <n v="45"/>
    <s v="Private"/>
    <s v="â‚¬118,741"/>
    <s v="[]"/>
    <x v="3"/>
    <n v="118741"/>
  </r>
  <r>
    <x v="0"/>
    <x v="1"/>
    <s v="hybrid"/>
    <s v="company_544"/>
    <x v="172"/>
    <s v="20 days ago"/>
    <x v="126"/>
    <x v="3"/>
    <s v="Private"/>
    <n v="55070"/>
    <s v="Private"/>
    <s v="â‚¬100,470 - â‚¬137,003"/>
    <s v="['linux', 'aws', 'r', 'python']"/>
    <x v="12"/>
    <n v="118736.5"/>
  </r>
  <r>
    <x v="0"/>
    <x v="0"/>
    <s v="on-site"/>
    <s v="company_545"/>
    <x v="173"/>
    <s v="15 days ago"/>
    <x v="127"/>
    <x v="5"/>
    <s v="Public"/>
    <n v="35050"/>
    <s v="Public"/>
    <s v="â‚¬138,373 - â‚¬202,945"/>
    <s v="['tableau']"/>
    <x v="1"/>
    <n v="170659"/>
  </r>
  <r>
    <x v="1"/>
    <x v="0"/>
    <s v="hybrid"/>
    <s v="company_546"/>
    <x v="174"/>
    <s v="7 days ago"/>
    <x v="2"/>
    <x v="0"/>
    <s v="Public"/>
    <n v="2010"/>
    <s v="Public"/>
    <s v="â‚¬172,567 - â‚¬244,914"/>
    <s v="['pytorch', 'spark', 'python', 'scala', 'sql', 'machine learning', 'deep learning', 'tensorflow']"/>
    <x v="10"/>
    <n v="208740.5"/>
  </r>
  <r>
    <x v="0"/>
    <x v="0"/>
    <s v="hybrid"/>
    <s v="company_549"/>
    <x v="175"/>
    <s v="3 months ago"/>
    <x v="128"/>
    <x v="2"/>
    <s v="Private"/>
    <n v="600"/>
    <s v="Private"/>
    <s v="â‚¬205,499 - â‚¬273,999"/>
    <s v="['pandas', 'numpy', 'pytorch', 'spark', 'aws', 'python', 'machine learning', 'gcp', 'deep learning', 'azure', 'matplotlib', 'tensorflow']"/>
    <x v="4"/>
    <n v="239749"/>
  </r>
  <r>
    <x v="0"/>
    <x v="0"/>
    <s v="on-site"/>
    <s v="company_551"/>
    <x v="14"/>
    <s v="2 months ago"/>
    <x v="11"/>
    <x v="2"/>
    <s v="Private"/>
    <n v="1310"/>
    <s v="Private"/>
    <s v="â‚¬15,667"/>
    <s v="['powerbi', 'python', 'sql', 'machine learning', 'deep learning', 'matplotlib', 'tableau']"/>
    <x v="13"/>
    <n v="15667"/>
  </r>
  <r>
    <x v="0"/>
    <x v="2"/>
    <s v="remote"/>
    <s v="company_019"/>
    <x v="8"/>
    <s v="a month ago"/>
    <x v="8"/>
    <x v="2"/>
    <s v="Private"/>
    <n v="126"/>
    <s v="Private"/>
    <s v="â‚¬155,272"/>
    <s v="[]"/>
    <x v="2"/>
    <n v="155272"/>
  </r>
  <r>
    <x v="0"/>
    <x v="1"/>
    <s v="on-site"/>
    <s v="company_555"/>
    <x v="176"/>
    <s v="7 days ago"/>
    <x v="8"/>
    <x v="3"/>
    <s v="Public"/>
    <n v="3040"/>
    <s v="Public"/>
    <s v="â‚¬141,571"/>
    <s v="['sql', 'machine learning', 'r', 'python']"/>
    <x v="10"/>
    <n v="141571"/>
  </r>
  <r>
    <x v="0"/>
    <x v="0"/>
    <s v="hybrid"/>
    <s v="company_558"/>
    <x v="140"/>
    <s v="16 hours ago"/>
    <x v="8"/>
    <x v="3"/>
    <s v="Private"/>
    <n v="60640"/>
    <s v="Private"/>
    <s v="â‚¬109,605 - â‚¬159,838"/>
    <s v="['r', 'python', 'machine learning', 'keras', 'deep learning', 'tensorflow']"/>
    <x v="21"/>
    <n v="134721.5"/>
  </r>
  <r>
    <x v="0"/>
    <x v="1"/>
    <s v="remote"/>
    <s v="company_155"/>
    <x v="177"/>
    <s v="18 days ago"/>
    <x v="27"/>
    <x v="2"/>
    <s v="Public"/>
    <n v="2570"/>
    <s v="Public"/>
    <s v="â‚¬146,135 - â‚¬182,668"/>
    <s v="['aws', 'scikit-learn', 'python', 'sql', 'machine learning', 'tensorflow']"/>
    <x v="23"/>
    <n v="164401.5"/>
  </r>
  <r>
    <x v="0"/>
    <x v="0"/>
    <s v="remote"/>
    <s v="company_564"/>
    <x v="8"/>
    <s v="a month ago"/>
    <x v="59"/>
    <x v="2"/>
    <s v="Private"/>
    <n v="300"/>
    <s v="Private"/>
    <s v="â‚¬168,061 - â‚¬192,721"/>
    <s v="[]"/>
    <x v="2"/>
    <n v="180391"/>
  </r>
  <r>
    <x v="0"/>
    <x v="0"/>
    <s v="on-site"/>
    <s v="company_568"/>
    <x v="178"/>
    <s v="a month ago"/>
    <x v="129"/>
    <x v="3"/>
    <s v="Public"/>
    <n v="18030"/>
    <s v="Public"/>
    <s v="â‚¬115,085 - â‚¬126,958"/>
    <s v="['sql', 'r', 'python']"/>
    <x v="2"/>
    <n v="121021.5"/>
  </r>
  <r>
    <x v="0"/>
    <x v="0"/>
    <s v="remote"/>
    <s v="company_572"/>
    <x v="8"/>
    <s v="3 days ago"/>
    <x v="9"/>
    <x v="2"/>
    <s v="Private"/>
    <n v="45"/>
    <s v="Private"/>
    <s v="â‚¬155,269 - â‚¬178,102"/>
    <s v="[]"/>
    <x v="4"/>
    <n v="166685.5"/>
  </r>
  <r>
    <x v="0"/>
    <x v="4"/>
    <s v="on-site"/>
    <s v="company_574"/>
    <x v="94"/>
    <s v="5 days ago"/>
    <x v="130"/>
    <x v="2"/>
    <s v="Private"/>
    <n v="43933"/>
    <s v="Private"/>
    <s v="â‚¬52,518 - â‚¬97,271"/>
    <s v="[]"/>
    <x v="15"/>
    <n v="74894.5"/>
  </r>
  <r>
    <x v="0"/>
    <x v="0"/>
    <s v="on-site"/>
    <s v="company_577"/>
    <x v="121"/>
    <s v="4 days ago"/>
    <x v="93"/>
    <x v="2"/>
    <s v="Private"/>
    <n v="126"/>
    <s v="Private"/>
    <s v="â‚¬147,049 - â‚¬185,363"/>
    <s v="['pytorch', 'aws', 'r', 'python', 'docker', 'scikit-learn', 'machine learning', 'gcp', 'deep learning', 'azure', 'matplotlib', 'tensorflow']"/>
    <x v="16"/>
    <n v="166206"/>
  </r>
  <r>
    <x v="0"/>
    <x v="4"/>
    <s v="on-site"/>
    <s v="company_579"/>
    <x v="179"/>
    <s v="10 months ago"/>
    <x v="131"/>
    <x v="4"/>
    <s v="Unknown"/>
    <n v="39879"/>
    <s v="Education"/>
    <s v="â‚¬91,339 - â‚¬109,605"/>
    <s v="['sql', 'machine learning', 'r', 'python']"/>
    <x v="19"/>
    <n v="100472"/>
  </r>
  <r>
    <x v="0"/>
    <x v="1"/>
    <s v="on-site"/>
    <s v="company_412"/>
    <x v="180"/>
    <s v="a month ago"/>
    <x v="110"/>
    <x v="3"/>
    <s v="Private"/>
    <n v="1320"/>
    <s v="Private"/>
    <s v="â‚¬112,348 - â‚¬168,609"/>
    <s v="['pytorch', 'aws', 'python', 'sql', 'machine learning', 'gcp', 'azure', 'tensorflow']"/>
    <x v="2"/>
    <n v="140478.5"/>
  </r>
  <r>
    <x v="0"/>
    <x v="0"/>
    <s v="hybrid"/>
    <s v="company_500"/>
    <x v="181"/>
    <s v="2 months ago"/>
    <x v="68"/>
    <x v="2"/>
    <s v="Private"/>
    <n v="75"/>
    <s v="Private"/>
    <s v="â‚¬5,939 - â‚¬8,222"/>
    <s v="['aws', 'database', 'sql', 'machine learning', 'gcp', 'kubernetes', 'deep learning', 'azure']"/>
    <x v="13"/>
    <n v="7080.5"/>
  </r>
  <r>
    <x v="0"/>
    <x v="0"/>
    <s v="remote"/>
    <s v="company_587"/>
    <x v="32"/>
    <s v="14 days ago"/>
    <x v="132"/>
    <x v="5"/>
    <s v="Private"/>
    <n v="490"/>
    <s v="Private"/>
    <s v="â‚¬91,336 - â‚¬109,602"/>
    <s v="['pandas', 'numpy', 'aws', 'git', 'scikit-learn', 'python', 'sql', 'gcp', 'database', 'machine learning']"/>
    <x v="8"/>
    <n v="100469"/>
  </r>
  <r>
    <x v="1"/>
    <x v="0"/>
    <s v="remote"/>
    <s v="company_589"/>
    <x v="8"/>
    <s v="a month ago"/>
    <x v="27"/>
    <x v="2"/>
    <s v="Public"/>
    <n v="990"/>
    <s v="Public"/>
    <s v="â‚¬197,190 - â‚¬236,660"/>
    <s v="[]"/>
    <x v="2"/>
    <n v="216925"/>
  </r>
  <r>
    <x v="0"/>
    <x v="0"/>
    <s v="hybrid"/>
    <s v="company_590"/>
    <x v="182"/>
    <s v="a month ago"/>
    <x v="133"/>
    <x v="5"/>
    <s v="Private"/>
    <n v="45"/>
    <s v="Private"/>
    <s v="â‚¬159,834 - â‚¬205,500"/>
    <s v="[]"/>
    <x v="2"/>
    <n v="182667"/>
  </r>
  <r>
    <x v="0"/>
    <x v="0"/>
    <s v="hybrid"/>
    <s v="company_591"/>
    <x v="183"/>
    <s v="2 months ago"/>
    <x v="27"/>
    <x v="5"/>
    <s v="Private"/>
    <n v="420"/>
    <s v="Private"/>
    <s v="â‚¬95,901 - â‚¬123,301"/>
    <s v="['sql', 'machine learning', 'scikit-learn', 'python']"/>
    <x v="13"/>
    <n v="109601"/>
  </r>
  <r>
    <x v="0"/>
    <x v="0"/>
    <s v="hybrid"/>
    <s v="company_145"/>
    <x v="59"/>
    <s v="a day ago"/>
    <x v="3"/>
    <x v="2"/>
    <s v="Public"/>
    <n v="2760"/>
    <s v="Public"/>
    <s v="â‚¬200,937"/>
    <s v="[]"/>
    <x v="2"/>
    <n v="200937"/>
  </r>
  <r>
    <x v="0"/>
    <x v="0"/>
    <s v="on-site"/>
    <s v="company_596"/>
    <x v="33"/>
    <s v="a month ago"/>
    <x v="31"/>
    <x v="5"/>
    <s v="Public"/>
    <n v="4040"/>
    <s v="Public"/>
    <s v="â‚¬129,513 - â‚¬215,914"/>
    <s v="['r', 'python', 'scala', 'sql', 'gcp']"/>
    <x v="2"/>
    <n v="172713.5"/>
  </r>
  <r>
    <x v="0"/>
    <x v="1"/>
    <s v="Unknown"/>
    <s v="company_598"/>
    <x v="184"/>
    <s v="7 days ago"/>
    <x v="134"/>
    <x v="4"/>
    <s v="Unknown"/>
    <n v="9030"/>
    <s v="Education"/>
    <s v="â‚¬182,667"/>
    <s v="['sql', 'machine learning', 'python']"/>
    <x v="10"/>
    <n v="182667"/>
  </r>
  <r>
    <x v="0"/>
    <x v="4"/>
    <s v="Unknown"/>
    <s v="company_601"/>
    <x v="46"/>
    <s v="7 days ago"/>
    <x v="69"/>
    <x v="3"/>
    <s v="Public"/>
    <n v="205350"/>
    <s v="Public"/>
    <s v="â‚¬30,455"/>
    <s v="['scikit-learn', 'python', 'sql', 'database', 'machine learning']"/>
    <x v="10"/>
    <n v="30455"/>
  </r>
  <r>
    <x v="0"/>
    <x v="3"/>
    <s v="Unknown"/>
    <s v="company_603"/>
    <x v="185"/>
    <s v="3 months ago"/>
    <x v="75"/>
    <x v="4"/>
    <s v="Unknown"/>
    <n v="210"/>
    <s v="Education"/>
    <s v="â‚¬54,802"/>
    <s v="['tableau', 'r', 'python']"/>
    <x v="4"/>
    <n v="54802"/>
  </r>
  <r>
    <x v="0"/>
    <x v="4"/>
    <s v="remote"/>
    <s v="company_472"/>
    <x v="186"/>
    <s v="7 days ago"/>
    <x v="23"/>
    <x v="5"/>
    <s v="Private"/>
    <n v="3810"/>
    <s v="Private"/>
    <s v="â‚¬59,552 - â‚¬138,317"/>
    <s v="['aws', 'r', 'python', 'sql', 'machine learning']"/>
    <x v="10"/>
    <n v="98934.5"/>
  </r>
  <r>
    <x v="0"/>
    <x v="0"/>
    <s v="hybrid"/>
    <s v="company_607"/>
    <x v="187"/>
    <s v="17 hours ago"/>
    <x v="135"/>
    <x v="5"/>
    <s v="Private"/>
    <n v="683"/>
    <s v="Private"/>
    <s v="â‚¬120,568 - â‚¬134,268"/>
    <s v="[]"/>
    <x v="0"/>
    <n v="127418"/>
  </r>
  <r>
    <x v="0"/>
    <x v="0"/>
    <s v="hybrid"/>
    <s v="company_608"/>
    <x v="188"/>
    <s v="a month ago"/>
    <x v="136"/>
    <x v="2"/>
    <s v="Private"/>
    <n v="8350"/>
    <s v="Private"/>
    <s v="â‚¬86,270 - â‚¬119,421"/>
    <s v="['scala', 'spark', 'machine learning', 'python']"/>
    <x v="2"/>
    <n v="102845.5"/>
  </r>
  <r>
    <x v="0"/>
    <x v="1"/>
    <s v="hybrid"/>
    <s v="company_609"/>
    <x v="189"/>
    <s v="7 days ago"/>
    <x v="87"/>
    <x v="2"/>
    <s v="Public"/>
    <n v="4770"/>
    <s v="Public"/>
    <s v="â‚¬119,819 - â‚¬178,753"/>
    <s v="['pandas', 'numpy', 'pytorch', 'spark', 'aws', 'git', 'r', 'python', 'scikit-learn', 'sql', 'machine learning', 'keras', 'azure', 'tensorflow']"/>
    <x v="10"/>
    <n v="149286"/>
  </r>
  <r>
    <x v="0"/>
    <x v="0"/>
    <s v="hybrid"/>
    <s v="company_610"/>
    <x v="190"/>
    <s v="5 days ago"/>
    <x v="27"/>
    <x v="2"/>
    <s v="Private"/>
    <n v="51270"/>
    <s v="Private"/>
    <s v="â‚¬83,821"/>
    <s v="['git', 'r', 'python', 'sql', 'machine learning', 'deep learning']"/>
    <x v="15"/>
    <n v="83821"/>
  </r>
  <r>
    <x v="0"/>
    <x v="0"/>
    <s v="remote"/>
    <s v="company_611"/>
    <x v="8"/>
    <s v="22 days ago"/>
    <x v="44"/>
    <x v="2"/>
    <s v="Public"/>
    <n v="2540"/>
    <s v="Public"/>
    <s v="â‚¬137,006 - â‚¬200,939"/>
    <s v="[]"/>
    <x v="20"/>
    <n v="168972.5"/>
  </r>
  <r>
    <x v="0"/>
    <x v="0"/>
    <s v="Unknown"/>
    <s v="company_614"/>
    <x v="191"/>
    <s v="14 days ago"/>
    <x v="87"/>
    <x v="2"/>
    <s v="Private"/>
    <n v="10270"/>
    <s v="Private"/>
    <s v="â‚¬65,768"/>
    <s v="['amazon', 'pytorch', 'python', 'machine learning', 'deep learning', 'tensorflow']"/>
    <x v="8"/>
    <n v="65768"/>
  </r>
  <r>
    <x v="0"/>
    <x v="1"/>
    <s v="remote"/>
    <s v="company_615"/>
    <x v="8"/>
    <s v="a month ago"/>
    <x v="5"/>
    <x v="5"/>
    <s v="Private"/>
    <n v="180"/>
    <s v="Private"/>
    <s v="â‚¬173,536 - â‚¬200,936"/>
    <s v="[]"/>
    <x v="2"/>
    <n v="187236"/>
  </r>
  <r>
    <x v="0"/>
    <x v="2"/>
    <s v="on-site"/>
    <s v="company_383"/>
    <x v="137"/>
    <s v="a month ago"/>
    <x v="102"/>
    <x v="2"/>
    <s v="Private"/>
    <n v="3780"/>
    <s v="Private"/>
    <s v="â‚¬46,527 - â‚¬76,221"/>
    <s v="[]"/>
    <x v="2"/>
    <n v="61374"/>
  </r>
  <r>
    <x v="0"/>
    <x v="2"/>
    <s v="hybrid"/>
    <s v="company_624"/>
    <x v="76"/>
    <s v="a month ago"/>
    <x v="137"/>
    <x v="2"/>
    <s v="Private"/>
    <n v="180"/>
    <s v="Private"/>
    <s v="â‚¬39,254 - â‚¬58,876"/>
    <s v="[]"/>
    <x v="2"/>
    <n v="49065"/>
  </r>
  <r>
    <x v="0"/>
    <x v="0"/>
    <s v="remote"/>
    <s v="company_625"/>
    <x v="8"/>
    <s v="6 months ago"/>
    <x v="9"/>
    <x v="6"/>
    <s v="Private"/>
    <n v="90"/>
    <s v="Private"/>
    <s v="â‚¬141,572 - â‚¬168,972"/>
    <s v="[]"/>
    <x v="6"/>
    <n v="155272"/>
  </r>
  <r>
    <x v="0"/>
    <x v="4"/>
    <s v="on-site"/>
    <s v="company_631"/>
    <x v="20"/>
    <s v="21 days ago"/>
    <x v="109"/>
    <x v="2"/>
    <s v="Public"/>
    <n v="9300"/>
    <s v="Public"/>
    <s v="â‚¬130,666 - â‚¬241,896"/>
    <s v="['spark', 'aws', 'python', 'airflow', 'sql', 'gcp', 'machine learning']"/>
    <x v="18"/>
    <n v="186281"/>
  </r>
  <r>
    <x v="0"/>
    <x v="4"/>
    <s v="on-site"/>
    <s v="company_634"/>
    <x v="192"/>
    <s v="a month ago"/>
    <x v="138"/>
    <x v="5"/>
    <s v="Public"/>
    <n v="106370"/>
    <s v="Public"/>
    <s v="â‚¬124,333 - â‚¬207,218"/>
    <s v="['machine learning', 'r', 'python']"/>
    <x v="2"/>
    <n v="165775.5"/>
  </r>
  <r>
    <x v="0"/>
    <x v="0"/>
    <s v="hybrid"/>
    <s v="company_423"/>
    <x v="35"/>
    <s v="2 months ago"/>
    <x v="5"/>
    <x v="2"/>
    <s v="Private"/>
    <n v="500"/>
    <s v="Private"/>
    <s v="â‚¬109,603 - â‚¬118,736"/>
    <s v="[]"/>
    <x v="13"/>
    <n v="114169.5"/>
  </r>
  <r>
    <x v="0"/>
    <x v="1"/>
    <s v="on-site"/>
    <s v="company_057"/>
    <x v="36"/>
    <s v="7 days ago"/>
    <x v="23"/>
    <x v="0"/>
    <s v="Public"/>
    <n v="157150"/>
    <s v="Public"/>
    <s v="â‚¬120,567"/>
    <s v="['python', 'sql', 'machine learning', 'azure', 'tableau']"/>
    <x v="10"/>
    <n v="120567"/>
  </r>
  <r>
    <x v="0"/>
    <x v="0"/>
    <s v="remote"/>
    <s v="company_638"/>
    <x v="30"/>
    <s v="7 days ago"/>
    <x v="27"/>
    <x v="2"/>
    <s v="Private"/>
    <n v="960"/>
    <s v="Private"/>
    <s v="â‚¬109,600 - â‚¬118,733"/>
    <s v="['spark', 'aws', 'git', 'r', 'python', 'powerbi', 'scala', 'java', 'sql', 'machine learning', 'gcp', 'hadoop', 'azure', 'matplotlib', 'tableau']"/>
    <x v="10"/>
    <n v="114166.5"/>
  </r>
  <r>
    <x v="0"/>
    <x v="1"/>
    <s v="on-site"/>
    <s v="company_640"/>
    <x v="30"/>
    <s v="14 days ago"/>
    <x v="139"/>
    <x v="0"/>
    <s v="Public"/>
    <n v="50040"/>
    <s v="Public"/>
    <s v="â‚¬86,958"/>
    <s v="['pytorch', 'spark', 'python', 'machine learning', 'deep learning', 'azure', 'tensorflow']"/>
    <x v="8"/>
    <n v="86958"/>
  </r>
  <r>
    <x v="0"/>
    <x v="0"/>
    <s v="remote"/>
    <s v="company_642"/>
    <x v="8"/>
    <s v="2 days ago"/>
    <x v="8"/>
    <x v="5"/>
    <s v="Private"/>
    <n v="360"/>
    <s v="Private"/>
    <s v="â‚¬109,606 - â‚¬146,139"/>
    <s v="[]"/>
    <x v="13"/>
    <n v="127872.5"/>
  </r>
  <r>
    <x v="0"/>
    <x v="0"/>
    <s v="hybrid"/>
    <s v="company_643"/>
    <x v="193"/>
    <s v="7 days ago"/>
    <x v="140"/>
    <x v="5"/>
    <s v="Private"/>
    <n v="751"/>
    <s v="Private"/>
    <s v="â‚¬103,871"/>
    <s v="['sql', 'machine learning', 'r', 'python']"/>
    <x v="10"/>
    <n v="103871"/>
  </r>
  <r>
    <x v="0"/>
    <x v="2"/>
    <s v="hybrid"/>
    <s v="company_645"/>
    <x v="76"/>
    <s v="a year ago"/>
    <x v="6"/>
    <x v="2"/>
    <s v="Private"/>
    <n v="180"/>
    <s v="Private"/>
    <s v="â‚¬137,003 - â‚¬173,536"/>
    <s v="[]"/>
    <x v="2"/>
    <n v="155269.5"/>
  </r>
  <r>
    <x v="0"/>
    <x v="0"/>
    <s v="remote"/>
    <s v="company_647"/>
    <x v="194"/>
    <s v="5 days ago"/>
    <x v="69"/>
    <x v="2"/>
    <s v="Private"/>
    <n v="900"/>
    <s v="Private"/>
    <s v="â‚¬39,026"/>
    <s v="[]"/>
    <x v="15"/>
    <n v="39026"/>
  </r>
  <r>
    <x v="1"/>
    <x v="0"/>
    <s v="on-site"/>
    <s v="company_653"/>
    <x v="195"/>
    <s v="14 days ago"/>
    <x v="141"/>
    <x v="2"/>
    <s v="Private"/>
    <n v="1040"/>
    <s v="Private"/>
    <s v="â‚¬109,608 - â‚¬127,875"/>
    <s v="['pytorch', 'scikit-learn', 'machine learning', 'tensorflow']"/>
    <x v="8"/>
    <n v="118741.5"/>
  </r>
  <r>
    <x v="0"/>
    <x v="0"/>
    <s v="hybrid"/>
    <s v="company_654"/>
    <x v="93"/>
    <s v="21 days ago"/>
    <x v="9"/>
    <x v="2"/>
    <s v="Private"/>
    <n v="780"/>
    <s v="Private"/>
    <s v="â‚¬146,135 - â‚¬196,368"/>
    <s v="[]"/>
    <x v="18"/>
    <n v="171251.5"/>
  </r>
  <r>
    <x v="0"/>
    <x v="0"/>
    <s v="Unknown"/>
    <s v="company_254"/>
    <x v="94"/>
    <s v="7 days ago"/>
    <x v="72"/>
    <x v="5"/>
    <s v="Public"/>
    <n v="2540"/>
    <s v="Public"/>
    <s v="â‚¬63,942 - â‚¬86,775"/>
    <s v="['powerbi', 'r', 'python', 'sql', 'database', 'hadoop', 'tableau']"/>
    <x v="10"/>
    <n v="75358.5"/>
  </r>
  <r>
    <x v="0"/>
    <x v="0"/>
    <s v="on-site"/>
    <s v="company_662"/>
    <x v="4"/>
    <s v="13 days ago"/>
    <x v="2"/>
    <x v="2"/>
    <s v="Private"/>
    <n v="600"/>
    <s v="Private"/>
    <s v="â‚¬147,968"/>
    <s v="[]"/>
    <x v="9"/>
    <n v="147968"/>
  </r>
  <r>
    <x v="0"/>
    <x v="2"/>
    <s v="hybrid"/>
    <s v="company_645"/>
    <x v="76"/>
    <s v="3 years ago"/>
    <x v="6"/>
    <x v="2"/>
    <s v="Private"/>
    <n v="180"/>
    <s v="Private"/>
    <s v="â‚¬137,005 - â‚¬173,538"/>
    <s v="[]"/>
    <x v="4"/>
    <n v="155271.5"/>
  </r>
  <r>
    <x v="0"/>
    <x v="2"/>
    <s v="on-site"/>
    <s v="company_665"/>
    <x v="196"/>
    <s v="2 months ago"/>
    <x v="9"/>
    <x v="2"/>
    <s v="Private"/>
    <n v="45"/>
    <s v="Private"/>
    <s v="â‚¬159,835 - â‚¬182,668"/>
    <s v="[]"/>
    <x v="13"/>
    <n v="171251.5"/>
  </r>
  <r>
    <x v="0"/>
    <x v="0"/>
    <s v="Unknown"/>
    <s v="company_666"/>
    <x v="99"/>
    <s v="a month ago"/>
    <x v="142"/>
    <x v="2"/>
    <s v="Unknown"/>
    <n v="6040"/>
    <s v="Education"/>
    <s v="â‚¬80,624"/>
    <s v="['database']"/>
    <x v="2"/>
    <n v="80624"/>
  </r>
  <r>
    <x v="0"/>
    <x v="1"/>
    <s v="on-site"/>
    <s v="company_668"/>
    <x v="197"/>
    <s v="2 months ago"/>
    <x v="9"/>
    <x v="2"/>
    <s v="Private"/>
    <n v="420"/>
    <s v="Private"/>
    <s v="â‚¬218,288"/>
    <s v="[]"/>
    <x v="13"/>
    <n v="218288"/>
  </r>
  <r>
    <x v="0"/>
    <x v="2"/>
    <s v="on-site"/>
    <s v="company_670"/>
    <x v="198"/>
    <s v="7 days ago"/>
    <x v="143"/>
    <x v="2"/>
    <s v="Private"/>
    <n v="57"/>
    <s v="Private"/>
    <s v="â‚¬45,667 - â‚¬264,871"/>
    <s v="[]"/>
    <x v="10"/>
    <n v="155269"/>
  </r>
  <r>
    <x v="0"/>
    <x v="0"/>
    <s v="remote"/>
    <s v="company_675"/>
    <x v="8"/>
    <s v="2 months ago"/>
    <x v="144"/>
    <x v="2"/>
    <s v="Private"/>
    <n v="45"/>
    <s v="Private"/>
    <s v="â‚¬141,574 - â‚¬182,674"/>
    <s v="[]"/>
    <x v="13"/>
    <n v="162124"/>
  </r>
  <r>
    <x v="0"/>
    <x v="0"/>
    <s v="hybrid"/>
    <s v="company_216"/>
    <x v="199"/>
    <s v="4 days ago"/>
    <x v="8"/>
    <x v="2"/>
    <s v="Public"/>
    <n v="3050"/>
    <s v="Public"/>
    <s v="â‚¬130,609 - â‚¬209,155"/>
    <s v="['pytorch', 'aws', 'scikit-learn', 'python', 'sql', 'machine learning', 'deep learning', 'tensorflow']"/>
    <x v="16"/>
    <n v="169882"/>
  </r>
  <r>
    <x v="0"/>
    <x v="0"/>
    <s v="Unknown"/>
    <s v="company_678"/>
    <x v="200"/>
    <s v="22 days ago"/>
    <x v="143"/>
    <x v="2"/>
    <s v="Private"/>
    <n v="5060"/>
    <s v="Private"/>
    <s v="â‚¬60,287 - â‚¬96,820"/>
    <s v="[]"/>
    <x v="20"/>
    <n v="78553.5"/>
  </r>
  <r>
    <x v="0"/>
    <x v="0"/>
    <s v="on-site"/>
    <s v="company_680"/>
    <x v="201"/>
    <s v="8 days ago"/>
    <x v="145"/>
    <x v="2"/>
    <s v="Private"/>
    <n v="2300"/>
    <s v="Private"/>
    <s v="â‚¬91,334 - â‚¬109,600"/>
    <s v="['git', 'r', 'python', 'sql', 'machine learning']"/>
    <x v="3"/>
    <n v="100467"/>
  </r>
  <r>
    <x v="0"/>
    <x v="0"/>
    <s v="Unknown"/>
    <s v="company_678"/>
    <x v="202"/>
    <s v="21 days ago"/>
    <x v="143"/>
    <x v="2"/>
    <s v="Private"/>
    <n v="5030"/>
    <s v="Private"/>
    <s v="â‚¬160,753 - â‚¬257,566"/>
    <s v="['spark', 'aws', 'r', 'python', 'scala', 'java', 'sql', 'machine learning', 'hadoop', 'azure', 'tableau']"/>
    <x v="18"/>
    <n v="209159.5"/>
  </r>
  <r>
    <x v="0"/>
    <x v="1"/>
    <s v="Unknown"/>
    <s v="company_685"/>
    <x v="5"/>
    <s v="6 months ago"/>
    <x v="5"/>
    <x v="2"/>
    <s v="Private"/>
    <n v="2060"/>
    <s v="Private"/>
    <s v="â‚¬79,654 - â‚¬125,307"/>
    <s v="['spark', 'aws', 'python', 'sql', 'machine learning']"/>
    <x v="6"/>
    <n v="102480.5"/>
  </r>
  <r>
    <x v="0"/>
    <x v="0"/>
    <s v="on-site"/>
    <s v="company_689"/>
    <x v="203"/>
    <s v="8 days ago"/>
    <x v="146"/>
    <x v="0"/>
    <s v="Public"/>
    <n v="4760"/>
    <s v="Public"/>
    <s v="â‚¬94,111 - â‚¬161,332"/>
    <s v="['spark', 'aws', 'r', 'python', 'scala', 'sql', 'machine learning', 'gcp', 'deep learning', 'hadoop', 'azure', 'tableau']"/>
    <x v="3"/>
    <n v="127721.5"/>
  </r>
  <r>
    <x v="0"/>
    <x v="1"/>
    <s v="Unknown"/>
    <s v="company_488"/>
    <x v="176"/>
    <s v="23 days ago"/>
    <x v="8"/>
    <x v="5"/>
    <s v="Unknown"/>
    <n v="4270"/>
    <s v="Nonprofit"/>
    <s v="â‚¬149,604 - â‚¬182,849"/>
    <s v="['r', 'python', 'sql', 'machine learning', 'tableau']"/>
    <x v="22"/>
    <n v="166226.5"/>
  </r>
  <r>
    <x v="0"/>
    <x v="0"/>
    <s v="hybrid"/>
    <s v="company_690"/>
    <x v="204"/>
    <s v="7 days ago"/>
    <x v="147"/>
    <x v="5"/>
    <s v="Public"/>
    <n v="22030"/>
    <s v="Public"/>
    <s v="â‚¬146,393 - â‚¬178,925"/>
    <s v="['machine learning', 'r', 'python']"/>
    <x v="10"/>
    <n v="162659"/>
  </r>
  <r>
    <x v="0"/>
    <x v="0"/>
    <s v="Unknown"/>
    <s v="company_694"/>
    <x v="20"/>
    <s v="2 days ago"/>
    <x v="9"/>
    <x v="3"/>
    <s v="Private"/>
    <n v="90"/>
    <s v="Private"/>
    <s v="â‚¬200,936 - â‚¬264,868"/>
    <s v="['amazon', 'machine learning']"/>
    <x v="13"/>
    <n v="232902"/>
  </r>
  <r>
    <x v="0"/>
    <x v="0"/>
    <s v="hybrid"/>
    <s v="company_697"/>
    <x v="78"/>
    <s v="14 days ago"/>
    <x v="87"/>
    <x v="2"/>
    <s v="Private"/>
    <n v="330"/>
    <s v="Private"/>
    <s v="â‚¬109,606 - â‚¬146,139"/>
    <s v="['pandas', 'numpy', 'aws', 'r', 'python', 'scikit-learn', 'airflow', 'sql', 'machine learning', 'gcp', 'azure', 'matplotlib', 'tableau']"/>
    <x v="8"/>
    <n v="127872.5"/>
  </r>
  <r>
    <x v="0"/>
    <x v="0"/>
    <s v="hybrid"/>
    <s v="company_521"/>
    <x v="93"/>
    <s v="4 days ago"/>
    <x v="9"/>
    <x v="2"/>
    <s v="Private"/>
    <n v="524"/>
    <s v="Private"/>
    <s v="â‚¬164,408 - â‚¬182,674"/>
    <s v="['sql', 'machine learning', 'python']"/>
    <x v="16"/>
    <n v="173541"/>
  </r>
  <r>
    <x v="0"/>
    <x v="3"/>
    <s v="remote"/>
    <s v="company_702"/>
    <x v="205"/>
    <s v="14 days ago"/>
    <x v="90"/>
    <x v="5"/>
    <s v="Unknown"/>
    <n v="2840"/>
    <s v="Nonprofit"/>
    <s v="â‚¬43,700"/>
    <s v="['machine learning', 'r', 'python']"/>
    <x v="8"/>
    <n v="43700"/>
  </r>
  <r>
    <x v="0"/>
    <x v="1"/>
    <s v="Unknown"/>
    <s v="company_704"/>
    <x v="206"/>
    <s v="7 days ago"/>
    <x v="148"/>
    <x v="6"/>
    <s v="Private"/>
    <n v="13070"/>
    <s v="Private"/>
    <s v="â‚¬29,498"/>
    <s v="['sql', 'git', 'r', 'python']"/>
    <x v="10"/>
    <n v="29498"/>
  </r>
  <r>
    <x v="0"/>
    <x v="2"/>
    <s v="on-site"/>
    <s v="company_705"/>
    <x v="95"/>
    <s v="13 days ago"/>
    <x v="9"/>
    <x v="2"/>
    <s v="Private"/>
    <n v="90"/>
    <s v="Private"/>
    <s v="â‚¬131,528 - â‚¬175,367"/>
    <s v="[]"/>
    <x v="9"/>
    <n v="153447.5"/>
  </r>
  <r>
    <x v="0"/>
    <x v="1"/>
    <s v="hybrid"/>
    <s v="company_706"/>
    <x v="207"/>
    <s v="a month ago"/>
    <x v="149"/>
    <x v="2"/>
    <s v="Private"/>
    <n v="150"/>
    <s v="Private"/>
    <s v="â‚¬104,128 - â‚¬192,721"/>
    <s v="[]"/>
    <x v="2"/>
    <n v="148424.5"/>
  </r>
  <r>
    <x v="0"/>
    <x v="2"/>
    <s v="hybrid"/>
    <s v="company_708"/>
    <x v="76"/>
    <s v="5 months ago"/>
    <x v="9"/>
    <x v="2"/>
    <s v="Private"/>
    <n v="45"/>
    <s v="Private"/>
    <s v="â‚¬118,739 - â‚¬155,272"/>
    <s v="[]"/>
    <x v="15"/>
    <n v="137005.5"/>
  </r>
  <r>
    <x v="0"/>
    <x v="0"/>
    <s v="hybrid"/>
    <s v="company_709"/>
    <x v="208"/>
    <s v="7 days ago"/>
    <x v="150"/>
    <x v="1"/>
    <s v="Private"/>
    <n v="420"/>
    <s v="Private"/>
    <s v="â‚¬156,187"/>
    <s v="[]"/>
    <x v="10"/>
    <n v="156187"/>
  </r>
  <r>
    <x v="0"/>
    <x v="0"/>
    <s v="remote"/>
    <s v="company_714"/>
    <x v="8"/>
    <s v="20 days ago"/>
    <x v="151"/>
    <x v="2"/>
    <s v="Private"/>
    <n v="210"/>
    <s v="Private"/>
    <s v="â‚¬200,936"/>
    <s v="[]"/>
    <x v="12"/>
    <n v="200936"/>
  </r>
  <r>
    <x v="0"/>
    <x v="1"/>
    <s v="remote"/>
    <s v="company_718"/>
    <x v="209"/>
    <s v="a day ago"/>
    <x v="152"/>
    <x v="3"/>
    <s v="Public"/>
    <n v="26010"/>
    <s v="Public"/>
    <s v="â‚¬90,424"/>
    <s v="['aws', 'r', 'python', 'scikit-learn', 'sql', 'machine learning', 'database', 'deep learning', 'tensorflow']"/>
    <x v="2"/>
    <n v="90424"/>
  </r>
  <r>
    <x v="0"/>
    <x v="3"/>
    <s v="on-site"/>
    <s v="company_723"/>
    <x v="210"/>
    <s v="14 days ago"/>
    <x v="27"/>
    <x v="3"/>
    <s v="Private"/>
    <n v="3790"/>
    <s v="Private"/>
    <s v="â‚¬182,667"/>
    <s v="['pandas', 'spark', 'r', 'python', 'scikit-learn', 'sql', 'gcp', 'machine learning', 'tensorflow', 'tableau']"/>
    <x v="8"/>
    <n v="182667"/>
  </r>
  <r>
    <x v="0"/>
    <x v="1"/>
    <s v="Unknown"/>
    <s v="company_727"/>
    <x v="211"/>
    <s v="14 days ago"/>
    <x v="27"/>
    <x v="0"/>
    <s v="Private"/>
    <n v="14460"/>
    <s v="Private"/>
    <s v="â‚¬100,473"/>
    <s v="[]"/>
    <x v="8"/>
    <n v="100473"/>
  </r>
  <r>
    <x v="0"/>
    <x v="1"/>
    <s v="hybrid"/>
    <s v="company_728"/>
    <x v="207"/>
    <s v="a month ago"/>
    <x v="149"/>
    <x v="2"/>
    <s v="Private"/>
    <n v="150"/>
    <s v="Private"/>
    <s v="â‚¬237,468"/>
    <s v="[]"/>
    <x v="2"/>
    <n v="237468"/>
  </r>
  <r>
    <x v="0"/>
    <x v="0"/>
    <s v="on-site"/>
    <s v="company_737"/>
    <x v="30"/>
    <s v="a month ago"/>
    <x v="9"/>
    <x v="2"/>
    <s v="Public"/>
    <n v="1780"/>
    <s v="Public"/>
    <s v="â‚¬114,170"/>
    <s v="['pytorch', 'aws', 'r', 'python', 'sql', 'machine learning', 'database', 'deep learning', 'tensorflow']"/>
    <x v="2"/>
    <n v="114170"/>
  </r>
  <r>
    <x v="0"/>
    <x v="0"/>
    <s v="Unknown"/>
    <s v="company_738"/>
    <x v="176"/>
    <s v="14 days ago"/>
    <x v="9"/>
    <x v="3"/>
    <s v="Private"/>
    <n v="700"/>
    <s v="Private"/>
    <s v="â‚¬189,518 - â‚¬205,501"/>
    <s v="['amazon', 'spark', 'git', 'r', 'python', 'linux', 'java', 'sql', 'machine learning', 'database', 'azure']"/>
    <x v="8"/>
    <n v="197509.5"/>
  </r>
  <r>
    <x v="0"/>
    <x v="0"/>
    <s v="hybrid"/>
    <s v="company_742"/>
    <x v="35"/>
    <s v="15 days ago"/>
    <x v="5"/>
    <x v="0"/>
    <s v="Public"/>
    <n v="1800"/>
    <s v="Public"/>
    <s v="â‚¬68,501 - â‚¬73,068"/>
    <s v="['amazon', 'r', 'python', 'sql', 'machine learning']"/>
    <x v="1"/>
    <n v="70784.5"/>
  </r>
  <r>
    <x v="0"/>
    <x v="0"/>
    <s v="on-site"/>
    <s v="company_744"/>
    <x v="212"/>
    <s v="2 months ago"/>
    <x v="153"/>
    <x v="3"/>
    <s v="Public"/>
    <n v="3780"/>
    <s v="Public"/>
    <s v="â‚¬81,237 - â‚¬150,867"/>
    <s v="['aws', 'r', 'python', 'sql', 'machine learning', 'azure']"/>
    <x v="13"/>
    <n v="116052"/>
  </r>
  <r>
    <x v="0"/>
    <x v="4"/>
    <s v="on-site"/>
    <s v="company_745"/>
    <x v="213"/>
    <s v="5 days ago"/>
    <x v="9"/>
    <x v="2"/>
    <s v="Private"/>
    <n v="300"/>
    <s v="Private"/>
    <s v="â‚¬78,551 - â‚¬139,744"/>
    <s v="['pandas', 'numpy', 'pytorch', 'aws', 'scikit-learn', 'python', 'tensorflow']"/>
    <x v="15"/>
    <n v="109147.5"/>
  </r>
  <r>
    <x v="0"/>
    <x v="0"/>
    <s v="on-site"/>
    <s v="company_746"/>
    <x v="30"/>
    <s v="25 days ago"/>
    <x v="154"/>
    <x v="2"/>
    <s v="Private"/>
    <n v="90"/>
    <s v="Private"/>
    <s v="â‚¬95,906 - â‚¬114,173"/>
    <s v="['sql', 'machine learning', 'r', 'python']"/>
    <x v="11"/>
    <n v="105039.5"/>
  </r>
  <r>
    <x v="0"/>
    <x v="2"/>
    <s v="Unknown"/>
    <s v="company_754"/>
    <x v="97"/>
    <s v="2 months ago"/>
    <x v="155"/>
    <x v="5"/>
    <s v="Public"/>
    <n v="2320"/>
    <s v="Public"/>
    <s v="â‚¬38,730 - â‚¬61,967"/>
    <s v="[]"/>
    <x v="13"/>
    <n v="50348.5"/>
  </r>
  <r>
    <x v="0"/>
    <x v="0"/>
    <s v="remote"/>
    <s v="company_757"/>
    <x v="32"/>
    <s v="14 days ago"/>
    <x v="68"/>
    <x v="3"/>
    <s v="Private"/>
    <n v="226"/>
    <s v="Private"/>
    <s v="â‚¬150,707 - â‚¬200,940"/>
    <s v="['sql', 'python']"/>
    <x v="8"/>
    <n v="175823.5"/>
  </r>
  <r>
    <x v="0"/>
    <x v="0"/>
    <s v="on-site"/>
    <s v="company_759"/>
    <x v="30"/>
    <s v="a month ago"/>
    <x v="66"/>
    <x v="2"/>
    <s v="Public"/>
    <n v="34020"/>
    <s v="Public"/>
    <s v="â‚¬164,406"/>
    <s v="['pandas', 'pytorch', 'aws', 'r', 'python', 'linux', 'java', 'machine learning', 'gcp', 'deep learning', 'azure', 'tensorflow']"/>
    <x v="2"/>
    <n v="164406"/>
  </r>
  <r>
    <x v="0"/>
    <x v="0"/>
    <s v="Unknown"/>
    <s v="company_762"/>
    <x v="214"/>
    <s v="a month ago"/>
    <x v="156"/>
    <x v="0"/>
    <s v="Private"/>
    <n v="70060"/>
    <s v="Private"/>
    <s v="â‚¬115,541"/>
    <s v="['pandas', 'numpy', 'pytorch', 'r', 'python', 'sql', 'machine learning', 'azure', 'tensorflow']"/>
    <x v="2"/>
    <n v="115541"/>
  </r>
  <r>
    <x v="0"/>
    <x v="0"/>
    <s v="Unknown"/>
    <s v="company_763"/>
    <x v="215"/>
    <s v="7 days ago"/>
    <x v="5"/>
    <x v="2"/>
    <s v="Public"/>
    <n v="26670"/>
    <s v="Public"/>
    <s v="â‚¬18,675"/>
    <s v="['pytorch', 'deep learning', 'machine learning', 'python']"/>
    <x v="10"/>
    <n v="18675"/>
  </r>
  <r>
    <x v="0"/>
    <x v="0"/>
    <s v="on-site"/>
    <s v="company_555"/>
    <x v="5"/>
    <s v="10 days ago"/>
    <x v="8"/>
    <x v="3"/>
    <s v="Public"/>
    <n v="3060"/>
    <s v="Public"/>
    <s v="â‚¬141,570"/>
    <s v="['kubernetes', 'machine learning', 'python']"/>
    <x v="19"/>
    <n v="141570"/>
  </r>
  <r>
    <x v="1"/>
    <x v="2"/>
    <s v="hybrid"/>
    <s v="company_770"/>
    <x v="76"/>
    <s v="12 days ago"/>
    <x v="9"/>
    <x v="6"/>
    <s v="Private"/>
    <n v="1910"/>
    <s v="Private"/>
    <s v="â‚¬109,607 - â‚¬137,007"/>
    <s v="[]"/>
    <x v="14"/>
    <n v="123307"/>
  </r>
  <r>
    <x v="0"/>
    <x v="0"/>
    <s v="hybrid"/>
    <s v="company_145"/>
    <x v="216"/>
    <s v="a day ago"/>
    <x v="3"/>
    <x v="2"/>
    <s v="Public"/>
    <n v="2760"/>
    <s v="Public"/>
    <s v="â‚¬120,566 - â‚¬231,992"/>
    <s v="[]"/>
    <x v="2"/>
    <n v="176279"/>
  </r>
  <r>
    <x v="0"/>
    <x v="0"/>
    <s v="on-site"/>
    <s v="company_774"/>
    <x v="217"/>
    <s v="4 days ago"/>
    <x v="157"/>
    <x v="2"/>
    <s v="Private"/>
    <n v="25090"/>
    <s v="Private"/>
    <s v="â‚¬100,469 - â‚¬210,068"/>
    <s v="['powerbi', 'r', 'python', 'java', 'sql', 'machine learning', 'tableau']"/>
    <x v="16"/>
    <n v="155268.5"/>
  </r>
  <r>
    <x v="0"/>
    <x v="0"/>
    <s v="Unknown"/>
    <s v="company_780"/>
    <x v="218"/>
    <s v="5 days ago"/>
    <x v="149"/>
    <x v="5"/>
    <s v="Private"/>
    <n v="5674"/>
    <s v="Private"/>
    <s v="â‚¬95,356 - â‚¬163,460"/>
    <s v="['pandas', 'git', 'r', 'python', 'keras', 'machine learning']"/>
    <x v="15"/>
    <n v="129408"/>
  </r>
  <r>
    <x v="0"/>
    <x v="0"/>
    <s v="Unknown"/>
    <s v="company_781"/>
    <x v="219"/>
    <s v="a month ago"/>
    <x v="4"/>
    <x v="2"/>
    <s v="Public"/>
    <n v="96050"/>
    <s v="Public"/>
    <s v="â‚¬95,902"/>
    <s v="['machine learning', 'r', 'python']"/>
    <x v="2"/>
    <n v="95902"/>
  </r>
  <r>
    <x v="0"/>
    <x v="0"/>
    <s v="hybrid"/>
    <s v="company_782"/>
    <x v="220"/>
    <s v="7 months ago"/>
    <x v="158"/>
    <x v="1"/>
    <s v="Private"/>
    <n v="300"/>
    <s v="Private"/>
    <s v="â‚¬62,797 - â‚¬72,216"/>
    <s v="[]"/>
    <x v="10"/>
    <n v="67506.5"/>
  </r>
  <r>
    <x v="0"/>
    <x v="0"/>
    <s v="hybrid"/>
    <s v="company_785"/>
    <x v="199"/>
    <s v="14 days ago"/>
    <x v="159"/>
    <x v="2"/>
    <s v="Private"/>
    <n v="5780"/>
    <s v="Private"/>
    <s v="â‚¬112,343 - â‚¬225,595"/>
    <s v="['pytorch', 'spark', 'scikit-learn', 'python', 'sql', 'machine learning', 'tensorflow']"/>
    <x v="8"/>
    <n v="168969"/>
  </r>
  <r>
    <x v="0"/>
    <x v="0"/>
    <s v="hybrid"/>
    <s v="company_786"/>
    <x v="26"/>
    <s v="18 days ago"/>
    <x v="23"/>
    <x v="0"/>
    <s v="Public"/>
    <n v="74020"/>
    <s v="Public"/>
    <s v="â‚¬147,962 - â‚¬271,261"/>
    <s v="['aws', 'python', 'scala', 'java', 'gcp', 'machine learning']"/>
    <x v="23"/>
    <n v="209611.5"/>
  </r>
  <r>
    <x v="0"/>
    <x v="0"/>
    <s v="on-site"/>
    <s v="company_793"/>
    <x v="54"/>
    <s v="2 months ago"/>
    <x v="133"/>
    <x v="4"/>
    <s v="Unknown"/>
    <n v="12609"/>
    <s v="Education"/>
    <s v="â‚¬74,793"/>
    <s v="['machine learning']"/>
    <x v="13"/>
    <n v="74793"/>
  </r>
  <r>
    <x v="0"/>
    <x v="0"/>
    <s v="on-site"/>
    <s v="company_795"/>
    <x v="221"/>
    <s v="2 months ago"/>
    <x v="143"/>
    <x v="2"/>
    <s v="Private"/>
    <n v="3550"/>
    <s v="Private"/>
    <s v="â‚¬52,067"/>
    <s v="['scikit-learn', 'python']"/>
    <x v="13"/>
    <n v="52067"/>
  </r>
  <r>
    <x v="0"/>
    <x v="0"/>
    <s v="on-site"/>
    <s v="company_796"/>
    <x v="222"/>
    <s v="a month ago"/>
    <x v="101"/>
    <x v="2"/>
    <s v="Private"/>
    <n v="150"/>
    <s v="Private"/>
    <s v="â‚¬39,797 - â‚¬87,544"/>
    <s v="['machine learning', 'python']"/>
    <x v="2"/>
    <n v="63670.5"/>
  </r>
  <r>
    <x v="0"/>
    <x v="0"/>
    <s v="on-site"/>
    <s v="company_797"/>
    <x v="19"/>
    <s v="a month ago"/>
    <x v="17"/>
    <x v="0"/>
    <s v="Public"/>
    <n v="20600"/>
    <s v="Public"/>
    <s v="â‚¬59,210"/>
    <s v="['git', 'python', 'airflow', 'sql', 'machine learning', 'hadoop', 'azure']"/>
    <x v="2"/>
    <n v="59210"/>
  </r>
  <r>
    <x v="0"/>
    <x v="0"/>
    <s v="Unknown"/>
    <s v="company_800"/>
    <x v="149"/>
    <s v="7 days ago"/>
    <x v="5"/>
    <x v="2"/>
    <s v="Public"/>
    <n v="10040"/>
    <s v="Public"/>
    <s v="â‚¬77,313 - â‚¬96,639"/>
    <s v="['spark', 'aws', 'git', 'python', 'docker', 'airflow', 'sql', 'machine learning', 'tableau']"/>
    <x v="10"/>
    <n v="86976"/>
  </r>
  <r>
    <x v="0"/>
    <x v="0"/>
    <s v="Unknown"/>
    <s v="company_804"/>
    <x v="223"/>
    <s v="a month ago"/>
    <x v="160"/>
    <x v="2"/>
    <s v="Public"/>
    <n v="2550"/>
    <s v="Public"/>
    <s v="â‚¬118,733"/>
    <s v="['deep learning', 'machine learning', 'python']"/>
    <x v="2"/>
    <n v="118733"/>
  </r>
  <r>
    <x v="0"/>
    <x v="0"/>
    <s v="hybrid"/>
    <s v="company_807"/>
    <x v="190"/>
    <s v="7 days ago"/>
    <x v="27"/>
    <x v="5"/>
    <s v="Unknown"/>
    <n v="1570"/>
    <s v="Nonprofit"/>
    <s v="â‚¬76,471 - â‚¬101,121"/>
    <s v="['r', 'python', 'java', 'sql', 'machine learning', 'database', 'deep learning', 'tableau']"/>
    <x v="10"/>
    <n v="88796"/>
  </r>
  <r>
    <x v="0"/>
    <x v="0"/>
    <s v="on-site"/>
    <s v="company_226"/>
    <x v="224"/>
    <s v="3 months ago"/>
    <x v="63"/>
    <x v="4"/>
    <s v="Unknown"/>
    <n v="9260"/>
    <s v="Education"/>
    <s v="â‚¬64,121 - â‚¬96,177"/>
    <s v="['machine learning']"/>
    <x v="4"/>
    <n v="80149"/>
  </r>
  <r>
    <x v="0"/>
    <x v="4"/>
    <s v="on-site"/>
    <s v="company_796"/>
    <x v="47"/>
    <s v="a month ago"/>
    <x v="101"/>
    <x v="2"/>
    <s v="Private"/>
    <n v="150"/>
    <s v="Private"/>
    <s v="â‚¬55,940 - â‚¬123,063"/>
    <s v="['machine learning', 'python']"/>
    <x v="2"/>
    <n v="89501.5"/>
  </r>
  <r>
    <x v="0"/>
    <x v="0"/>
    <s v="hybrid"/>
    <s v="company_662"/>
    <x v="76"/>
    <s v="13 days ago"/>
    <x v="2"/>
    <x v="2"/>
    <s v="Private"/>
    <n v="600"/>
    <s v="Private"/>
    <s v="â‚¬195,456"/>
    <s v="[]"/>
    <x v="9"/>
    <n v="195456"/>
  </r>
  <r>
    <x v="0"/>
    <x v="2"/>
    <s v="on-site"/>
    <s v="company_445"/>
    <x v="4"/>
    <s v="14 days ago"/>
    <x v="161"/>
    <x v="2"/>
    <s v="Public"/>
    <n v="2270"/>
    <s v="Public"/>
    <s v="â‚¬94,264 - â‚¬172,810"/>
    <s v="[]"/>
    <x v="8"/>
    <n v="133537"/>
  </r>
  <r>
    <x v="0"/>
    <x v="1"/>
    <s v="hybrid"/>
    <s v="company_814"/>
    <x v="190"/>
    <s v="9 days ago"/>
    <x v="87"/>
    <x v="7"/>
    <s v="Private"/>
    <n v="1260"/>
    <s v="Private"/>
    <s v="â‚¬182,673 - â‚¬274,006"/>
    <s v="[]"/>
    <x v="5"/>
    <n v="228339.5"/>
  </r>
  <r>
    <x v="0"/>
    <x v="0"/>
    <s v="on-site"/>
    <s v="company_816"/>
    <x v="20"/>
    <s v="4 days ago"/>
    <x v="9"/>
    <x v="0"/>
    <s v="Public"/>
    <n v="117030"/>
    <s v="Public"/>
    <s v="â‚¬144,893 - â‚¬161,660"/>
    <s v="['aws', 'python', 'machine learning', 'azure', 'deep learning', 'tableau']"/>
    <x v="16"/>
    <n v="153276.5"/>
  </r>
  <r>
    <x v="0"/>
    <x v="0"/>
    <s v="hybrid"/>
    <s v="company_817"/>
    <x v="199"/>
    <s v="7 days ago"/>
    <x v="5"/>
    <x v="4"/>
    <s v="Unknown"/>
    <n v="3510"/>
    <s v="Education"/>
    <s v="â‚¬137,003 - â‚¬148,876"/>
    <s v="['pandas', 'aws', 'r', 'python', 'scikit-learn', 'sql', 'machine learning', 'gcp', 'azure']"/>
    <x v="10"/>
    <n v="142939.5"/>
  </r>
  <r>
    <x v="0"/>
    <x v="3"/>
    <s v="Unknown"/>
    <s v="company_819"/>
    <x v="33"/>
    <s v="6 days ago"/>
    <x v="31"/>
    <x v="3"/>
    <s v="Unknown"/>
    <n v="600"/>
    <s v="Nonprofit"/>
    <s v="â‚¬86,771 - â‚¬114,171"/>
    <s v="['pandas', 'numpy', 'pytorch', 'aws', 'r', 'python', 'scikit-learn', 'sql', 'machine learning', 'gcp', 'deep learning', 'azure', 'tensorflow', 'tableau']"/>
    <x v="6"/>
    <n v="100471"/>
  </r>
  <r>
    <x v="0"/>
    <x v="0"/>
    <s v="hybrid"/>
    <s v="company_706"/>
    <x v="207"/>
    <s v="a month ago"/>
    <x v="149"/>
    <x v="2"/>
    <s v="Private"/>
    <n v="150"/>
    <s v="Private"/>
    <s v="â‚¬121,476 - â‚¬225,595"/>
    <s v="[]"/>
    <x v="2"/>
    <n v="173535.5"/>
  </r>
  <r>
    <x v="0"/>
    <x v="0"/>
    <s v="Unknown"/>
    <s v="company_738"/>
    <x v="94"/>
    <s v="14 days ago"/>
    <x v="9"/>
    <x v="3"/>
    <s v="Private"/>
    <n v="700"/>
    <s v="Private"/>
    <s v="â‚¬189,520 - â‚¬205,503"/>
    <s v="['amazon', 'spark', 'git', 'r', 'python', 'linux', 'java', 'sql', 'machine learning', 'database', 'azure']"/>
    <x v="8"/>
    <n v="197511.5"/>
  </r>
  <r>
    <x v="0"/>
    <x v="0"/>
    <s v="remote"/>
    <s v="company_825"/>
    <x v="225"/>
    <s v="14 days ago"/>
    <x v="31"/>
    <x v="2"/>
    <s v="Private"/>
    <n v="210"/>
    <s v="Private"/>
    <s v="â‚¬144,750 - â‚¬229,724"/>
    <s v="[]"/>
    <x v="8"/>
    <n v="187237"/>
  </r>
  <r>
    <x v="0"/>
    <x v="0"/>
    <s v="remote"/>
    <s v="company_832"/>
    <x v="70"/>
    <s v="7 days ago"/>
    <x v="162"/>
    <x v="5"/>
    <s v="Unknown"/>
    <n v="120010"/>
    <s v="Nonprofit"/>
    <s v="â‚¬159,835"/>
    <s v="['r', 'python', 'scala', 'sql', 'machine learning', 'database', 'azure', 'tableau']"/>
    <x v="10"/>
    <n v="159835"/>
  </r>
  <r>
    <x v="0"/>
    <x v="1"/>
    <s v="Unknown"/>
    <s v="company_047"/>
    <x v="226"/>
    <s v="7 days ago"/>
    <x v="19"/>
    <x v="2"/>
    <s v="Public"/>
    <n v="222040"/>
    <s v="â‚¬24.46B"/>
    <s v="â‚¬10,053"/>
    <s v="['deep learning', 'machine learning']"/>
    <x v="10"/>
    <n v="10053"/>
  </r>
  <r>
    <x v="0"/>
    <x v="0"/>
    <s v="hybrid"/>
    <s v="company_833"/>
    <x v="227"/>
    <s v="a month ago"/>
    <x v="11"/>
    <x v="2"/>
    <s v="Private"/>
    <n v="98"/>
    <s v="Private"/>
    <s v="â‚¬118,741 - â‚¬155,273"/>
    <s v="[]"/>
    <x v="2"/>
    <n v="137007"/>
  </r>
  <r>
    <x v="1"/>
    <x v="0"/>
    <s v="on-site"/>
    <s v="company_065"/>
    <x v="19"/>
    <s v="a month ago"/>
    <x v="25"/>
    <x v="2"/>
    <s v="Private"/>
    <n v="26030"/>
    <s v="Private"/>
    <s v="â‚¬137,008 - â‚¬173,541"/>
    <s v="['pytorch', 'spark', 'aws', 'database', 'sql', 'machine learning', 'deep learning', 'azure', 'tensorflow']"/>
    <x v="2"/>
    <n v="155274.5"/>
  </r>
  <r>
    <x v="1"/>
    <x v="0"/>
    <s v="hybrid"/>
    <s v="company_836"/>
    <x v="228"/>
    <s v="6 days ago"/>
    <x v="9"/>
    <x v="2"/>
    <s v="Private"/>
    <n v="630"/>
    <s v="â‚¬1.27B"/>
    <s v="â‚¬98,012"/>
    <s v="[]"/>
    <x v="6"/>
    <n v="98012"/>
  </r>
  <r>
    <x v="0"/>
    <x v="0"/>
    <s v="on-site"/>
    <s v="company_316"/>
    <x v="14"/>
    <s v="14 days ago"/>
    <x v="88"/>
    <x v="5"/>
    <s v="Public"/>
    <n v="37960"/>
    <s v="Public"/>
    <s v="â‚¬29,797 - â‚¬32,901"/>
    <s v="['spark', 'aws', 'python', 'sql', 'machine learning', 'deep learning', 'azure']"/>
    <x v="8"/>
    <n v="31349"/>
  </r>
  <r>
    <x v="0"/>
    <x v="0"/>
    <s v="hybrid"/>
    <s v="company_662"/>
    <x v="229"/>
    <s v="6 days ago"/>
    <x v="2"/>
    <x v="2"/>
    <s v="Private"/>
    <n v="600"/>
    <s v="Private"/>
    <s v="â‚¬220,119"/>
    <s v="[]"/>
    <x v="6"/>
    <n v="220119"/>
  </r>
  <r>
    <x v="0"/>
    <x v="0"/>
    <s v="Unknown"/>
    <s v="company_837"/>
    <x v="230"/>
    <s v="7 days ago"/>
    <x v="69"/>
    <x v="6"/>
    <s v="Public"/>
    <n v="12270"/>
    <s v="â‚¬36.93B"/>
    <s v="â‚¬126,957 - â‚¬149,790"/>
    <s v="['git', 'r', 'python', 'sql', 'azure']"/>
    <x v="10"/>
    <n v="138373.5"/>
  </r>
  <r>
    <x v="1"/>
    <x v="0"/>
    <s v="hybrid"/>
    <s v="company_690"/>
    <x v="231"/>
    <s v="7 days ago"/>
    <x v="147"/>
    <x v="5"/>
    <s v="Public"/>
    <n v="22060"/>
    <s v="Public"/>
    <s v="â‚¬108,761 - â‚¬132,929"/>
    <s v="['pytorch', 'aws', 'python', 'machine learning', 'deep learning']"/>
    <x v="10"/>
    <n v="120845"/>
  </r>
  <r>
    <x v="0"/>
    <x v="1"/>
    <s v="on-site"/>
    <s v="company_184"/>
    <x v="5"/>
    <s v="5 days ago"/>
    <x v="5"/>
    <x v="0"/>
    <s v="Public"/>
    <n v="130040"/>
    <s v="â‚¬5.23B"/>
    <s v="â‚¬137,000"/>
    <s v="['sql', 'machine learning', 'r', 'python']"/>
    <x v="15"/>
    <n v="137000"/>
  </r>
  <r>
    <x v="0"/>
    <x v="0"/>
    <s v="on-site"/>
    <s v="company_015"/>
    <x v="232"/>
    <s v="7 days ago"/>
    <x v="7"/>
    <x v="2"/>
    <s v="Public"/>
    <n v="900"/>
    <s v="Public"/>
    <s v="â‚¬121,475 - â‚¬132,435"/>
    <s v="['pandas', 'numpy', 'pytorch', 'aws', 'scikit-learn', 'python', 'scipy', 'sql', 'machine learning', 'gcp', 'azure', 'tensorflow']"/>
    <x v="10"/>
    <n v="126955"/>
  </r>
  <r>
    <x v="0"/>
    <x v="0"/>
    <s v="on-site"/>
    <s v="company_134"/>
    <x v="233"/>
    <s v="a day ago"/>
    <x v="23"/>
    <x v="0"/>
    <s v="Public"/>
    <n v="865436"/>
    <s v="â‚¬832.81B"/>
    <s v="â‚¬155,268 - â‚¬177,188"/>
    <s v="['amazon', 'aws', 'r', 'python', 'sql', 'machine learning', 'tableau']"/>
    <x v="2"/>
    <n v="166228"/>
  </r>
  <r>
    <x v="0"/>
    <x v="0"/>
    <s v="on-site"/>
    <s v="company_763"/>
    <x v="234"/>
    <s v="19 days ago"/>
    <x v="5"/>
    <x v="2"/>
    <s v="Public"/>
    <n v="26630"/>
    <s v="Public"/>
    <s v="â‚¬118,737 - â‚¬168,970"/>
    <s v="['pytorch', 'python', 'machine learning', 'keras', 'deep learning', 'tensorflow']"/>
    <x v="7"/>
    <n v="143853.5"/>
  </r>
  <r>
    <x v="0"/>
    <x v="4"/>
    <s v="on-site"/>
    <s v="company_269"/>
    <x v="235"/>
    <s v="a month ago"/>
    <x v="10"/>
    <x v="3"/>
    <s v="Public"/>
    <n v="274280"/>
    <s v="â‚¬276.82B"/>
    <s v="â‚¬20,926"/>
    <s v="['hadoop', 'git', 'gcp', 'python']"/>
    <x v="2"/>
    <n v="20926"/>
  </r>
  <r>
    <x v="0"/>
    <x v="0"/>
    <s v="remote"/>
    <s v="company_832"/>
    <x v="236"/>
    <s v="7 days ago"/>
    <x v="162"/>
    <x v="5"/>
    <s v="Unknown"/>
    <n v="120040"/>
    <s v="Nonprofit"/>
    <s v="â‚¬159,834"/>
    <s v="['r', 'python', 'scala', 'sql', 'machine learning', 'database', 'azure', 'tableau']"/>
    <x v="10"/>
    <n v="159834"/>
  </r>
  <r>
    <x v="0"/>
    <x v="0"/>
    <s v="remote"/>
    <s v="company_141"/>
    <x v="58"/>
    <s v="14 days ago"/>
    <x v="45"/>
    <x v="2"/>
    <s v="Public"/>
    <n v="108650"/>
    <s v="â‚¬117.13B"/>
    <s v="â‚¬100,474 - â‚¬132,440"/>
    <s v="['machine learning']"/>
    <x v="8"/>
    <n v="116457"/>
  </r>
  <r>
    <x v="0"/>
    <x v="0"/>
    <s v="Unknown"/>
    <s v="company_250"/>
    <x v="237"/>
    <s v="4 days ago"/>
    <x v="71"/>
    <x v="5"/>
    <s v="Private"/>
    <n v="76010"/>
    <s v="Private"/>
    <s v="â‚¬66,119 - â‚¬99,994"/>
    <s v="['amazon', 'aws']"/>
    <x v="16"/>
    <n v="83056.5"/>
  </r>
  <r>
    <x v="0"/>
    <x v="0"/>
    <s v="hybrid"/>
    <s v="company_840"/>
    <x v="238"/>
    <s v="a month ago"/>
    <x v="163"/>
    <x v="5"/>
    <s v="Private"/>
    <n v="240"/>
    <s v="Private"/>
    <s v="â‚¬124,220 - â‚¬168,060"/>
    <s v="[]"/>
    <x v="2"/>
    <n v="146140"/>
  </r>
  <r>
    <x v="0"/>
    <x v="0"/>
    <s v="Unknown"/>
    <s v="company_844"/>
    <x v="113"/>
    <s v="21 days ago"/>
    <x v="46"/>
    <x v="2"/>
    <s v="Public"/>
    <n v="17040"/>
    <s v="â‚¬94.59B"/>
    <s v="â‚¬168,973"/>
    <s v="['r', 'python', 'sql', 'machine learning', 'tableau']"/>
    <x v="18"/>
    <n v="168973"/>
  </r>
  <r>
    <x v="0"/>
    <x v="2"/>
    <s v="remote"/>
    <s v="company_845"/>
    <x v="8"/>
    <s v="5 days ago"/>
    <x v="9"/>
    <x v="3"/>
    <s v="Private"/>
    <n v="457"/>
    <s v="Private"/>
    <s v="â‚¬115,085 - â‚¬152,531"/>
    <s v="[]"/>
    <x v="15"/>
    <n v="133808"/>
  </r>
  <r>
    <x v="0"/>
    <x v="1"/>
    <s v="hybrid"/>
    <s v="company_846"/>
    <x v="239"/>
    <s v="14 days ago"/>
    <x v="164"/>
    <x v="6"/>
    <s v="Private"/>
    <n v="240"/>
    <s v="Private"/>
    <s v="â‚¬118,740 - â‚¬155,273"/>
    <s v="[]"/>
    <x v="8"/>
    <n v="137006.5"/>
  </r>
  <r>
    <x v="0"/>
    <x v="0"/>
    <s v="hybrid"/>
    <s v="company_313"/>
    <x v="240"/>
    <s v="a month ago"/>
    <x v="69"/>
    <x v="3"/>
    <s v="Public"/>
    <n v="29490"/>
    <s v="Public"/>
    <s v="â‚¬73,454"/>
    <s v="['machine learning', 'python']"/>
    <x v="2"/>
    <n v="73454"/>
  </r>
  <r>
    <x v="0"/>
    <x v="4"/>
    <s v="Unknown"/>
    <s v="company_233"/>
    <x v="241"/>
    <s v="a month ago"/>
    <x v="66"/>
    <x v="2"/>
    <s v="Public"/>
    <n v="27420"/>
    <s v="Public"/>
    <s v="â‚¬81,926 - â‚¬148,097"/>
    <s v="['git', 'r', 'python', 'docker', 'linux', 'java', 'sql', 'database', 'deep learning']"/>
    <x v="2"/>
    <n v="115011.5"/>
  </r>
  <r>
    <x v="0"/>
    <x v="0"/>
    <s v="remote"/>
    <s v="company_572"/>
    <x v="8"/>
    <s v="19 days ago"/>
    <x v="9"/>
    <x v="2"/>
    <s v="Private"/>
    <n v="45"/>
    <s v="Private"/>
    <s v="â‚¬155,266 - â‚¬178,099"/>
    <s v="[]"/>
    <x v="7"/>
    <n v="166682.5"/>
  </r>
  <r>
    <x v="0"/>
    <x v="0"/>
    <s v="on-site"/>
    <s v="company_355"/>
    <x v="242"/>
    <s v="14 days ago"/>
    <x v="9"/>
    <x v="2"/>
    <s v="Public"/>
    <n v="65810"/>
    <s v="â‚¬130.59B"/>
    <s v="â‚¬125,226 - â‚¬216,010"/>
    <s v="['sql', 'r', 'python']"/>
    <x v="8"/>
    <n v="170618"/>
  </r>
  <r>
    <x v="0"/>
    <x v="0"/>
    <s v="hybrid"/>
    <s v="company_848"/>
    <x v="243"/>
    <s v="16 days ago"/>
    <x v="165"/>
    <x v="5"/>
    <s v="Public"/>
    <n v="107710"/>
    <s v="â‚¬161.05B"/>
    <s v="â‚¬79,461"/>
    <s v="['python']"/>
    <x v="21"/>
    <n v="79461"/>
  </r>
  <r>
    <x v="0"/>
    <x v="4"/>
    <s v="on-site"/>
    <s v="company_231"/>
    <x v="88"/>
    <s v="25 days ago"/>
    <x v="65"/>
    <x v="5"/>
    <s v="Public"/>
    <n v="78700"/>
    <s v="â‚¬231.13B"/>
    <s v="â‚¬157,737 - â‚¬248,339"/>
    <s v="['machine learning', 'r', 'python']"/>
    <x v="11"/>
    <n v="203038"/>
  </r>
  <r>
    <x v="0"/>
    <x v="0"/>
    <s v="hybrid"/>
    <s v="company_182"/>
    <x v="72"/>
    <s v="7 days ago"/>
    <x v="27"/>
    <x v="3"/>
    <s v="Public"/>
    <n v="9900"/>
    <s v="Public"/>
    <s v="â‚¬15,539"/>
    <s v="['python', 'neural network', 'sql', 'machine learning', 'deep learning']"/>
    <x v="10"/>
    <n v="15539"/>
  </r>
  <r>
    <x v="0"/>
    <x v="4"/>
    <s v="on-site"/>
    <s v="company_288"/>
    <x v="155"/>
    <s v="5 days ago"/>
    <x v="66"/>
    <x v="2"/>
    <s v="Public"/>
    <n v="26060"/>
    <s v="â‚¬62.89B"/>
    <s v="â‚¬146,141 - â‚¬182,673"/>
    <s v="['python']"/>
    <x v="15"/>
    <n v="164407"/>
  </r>
  <r>
    <x v="0"/>
    <x v="4"/>
    <s v="hybrid"/>
    <s v="company_793"/>
    <x v="231"/>
    <s v="a month ago"/>
    <x v="133"/>
    <x v="4"/>
    <s v="Unknown"/>
    <n v="12659"/>
    <s v="Education"/>
    <s v="â‚¬44,521 - â‚¬59,359"/>
    <s v="['database', 'sql', 'r', 'python']"/>
    <x v="2"/>
    <n v="51940"/>
  </r>
  <r>
    <x v="0"/>
    <x v="0"/>
    <s v="on-site"/>
    <s v="company_445"/>
    <x v="4"/>
    <s v="2 days ago"/>
    <x v="161"/>
    <x v="2"/>
    <s v="Public"/>
    <n v="2300"/>
    <s v="Public"/>
    <s v="â‚¬151,799 - â‚¬278,294"/>
    <s v="[]"/>
    <x v="13"/>
    <n v="215046.5"/>
  </r>
  <r>
    <x v="0"/>
    <x v="2"/>
    <s v="hybrid"/>
    <s v="company_851"/>
    <x v="244"/>
    <s v="10 months ago"/>
    <x v="166"/>
    <x v="2"/>
    <s v="Private"/>
    <n v="3570"/>
    <s v="Private"/>
    <s v="â‚¬34,569"/>
    <s v="[]"/>
    <x v="19"/>
    <n v="34569"/>
  </r>
  <r>
    <x v="0"/>
    <x v="0"/>
    <s v="Unknown"/>
    <s v="company_166"/>
    <x v="245"/>
    <s v="14 days ago"/>
    <x v="50"/>
    <x v="2"/>
    <s v="Public"/>
    <n v="24800"/>
    <s v="â‚¬173.51B"/>
    <s v="â‚¬82,367"/>
    <s v="[]"/>
    <x v="8"/>
    <n v="82367"/>
  </r>
  <r>
    <x v="0"/>
    <x v="0"/>
    <s v="Unknown"/>
    <s v="company_852"/>
    <x v="89"/>
    <s v="14 days ago"/>
    <x v="67"/>
    <x v="0"/>
    <s v="Private"/>
    <n v="23910"/>
    <s v="Private"/>
    <s v="â‚¬130,610"/>
    <s v="['spark', 'r', 'python', 'docker', 'scala', 'java', 'sql', 'machine learning', 'kubernetes', 'deep learning', 'tensorflow']"/>
    <x v="8"/>
    <n v="130610"/>
  </r>
  <r>
    <x v="0"/>
    <x v="1"/>
    <s v="on-site"/>
    <s v="company_420"/>
    <x v="246"/>
    <s v="a month ago"/>
    <x v="75"/>
    <x v="2"/>
    <s v="Private"/>
    <n v="4570"/>
    <s v="Private"/>
    <s v="â‚¬54,267"/>
    <s v="[]"/>
    <x v="2"/>
    <n v="54267"/>
  </r>
  <r>
    <x v="0"/>
    <x v="0"/>
    <s v="Unknown"/>
    <s v="company_308"/>
    <x v="106"/>
    <s v="4 days ago"/>
    <x v="84"/>
    <x v="2"/>
    <s v="Public"/>
    <n v="182288"/>
    <s v="â‚¬1.68T"/>
    <s v="â‚¬48,604"/>
    <s v="['pytorch', 'spark', 'r', 'python', 'scikit-learn', 'scala', 'machine learning', 'deep learning', 'hadoop', 'azure', 'tensorflow']"/>
    <x v="16"/>
    <n v="48604"/>
  </r>
  <r>
    <x v="0"/>
    <x v="0"/>
    <s v="remote"/>
    <s v="company_037"/>
    <x v="52"/>
    <s v="14 days ago"/>
    <x v="9"/>
    <x v="3"/>
    <s v="Private"/>
    <n v="300"/>
    <s v="Private"/>
    <s v="â‚¬167,139"/>
    <s v="[]"/>
    <x v="8"/>
    <n v="167139"/>
  </r>
  <r>
    <x v="0"/>
    <x v="1"/>
    <s v="hybrid"/>
    <s v="company_851"/>
    <x v="244"/>
    <s v="a month ago"/>
    <x v="166"/>
    <x v="2"/>
    <s v="Private"/>
    <n v="3560"/>
    <s v="Private"/>
    <s v="â‚¬34,568"/>
    <s v="[]"/>
    <x v="2"/>
    <n v="34568"/>
  </r>
  <r>
    <x v="0"/>
    <x v="0"/>
    <s v="Unknown"/>
    <s v="company_694"/>
    <x v="20"/>
    <s v="2 months ago"/>
    <x v="9"/>
    <x v="3"/>
    <s v="Private"/>
    <n v="90"/>
    <s v="Private"/>
    <s v="â‚¬200,936 - â‚¬264,868"/>
    <s v="['amazon', 'machine learning']"/>
    <x v="13"/>
    <n v="232902"/>
  </r>
  <r>
    <x v="0"/>
    <x v="1"/>
    <s v="remote"/>
    <s v="company_859"/>
    <x v="247"/>
    <s v="3 months ago"/>
    <x v="69"/>
    <x v="2"/>
    <s v="Private"/>
    <n v="1530"/>
    <s v="â‚¬4.36B"/>
    <s v="â‚¬86,767 - â‚¬105,033"/>
    <s v="[]"/>
    <x v="4"/>
    <n v="95900"/>
  </r>
  <r>
    <x v="0"/>
    <x v="0"/>
    <s v="Unknown"/>
    <s v="company_116"/>
    <x v="248"/>
    <s v="14 days ago"/>
    <x v="41"/>
    <x v="2"/>
    <s v="Public"/>
    <n v="187570"/>
    <s v="â‚¬51.83B"/>
    <s v="â‚¬107,773"/>
    <s v="['pandas', 'numpy', 'pytorch', 'git', 'r', 'python', 'scikit-learn', 'sql', 'gcp', 'machine learning', 'tensorflow', 'tableau']"/>
    <x v="8"/>
    <n v="107773"/>
  </r>
  <r>
    <x v="0"/>
    <x v="0"/>
    <s v="Unknown"/>
    <s v="company_861"/>
    <x v="249"/>
    <s v="7 days ago"/>
    <x v="167"/>
    <x v="2"/>
    <s v="Public"/>
    <n v="4780"/>
    <s v="Public"/>
    <s v="â‚¬114,172"/>
    <s v="['machine learning']"/>
    <x v="10"/>
    <n v="114172"/>
  </r>
  <r>
    <x v="0"/>
    <x v="0"/>
    <s v="on-site"/>
    <s v="company_864"/>
    <x v="250"/>
    <s v="a month ago"/>
    <x v="168"/>
    <x v="0"/>
    <s v="Public"/>
    <n v="11020"/>
    <s v="Public"/>
    <s v="â‚¬101,079 - â‚¬157,680"/>
    <s v="['pandas', 'amazon', 'powerbi', 'git', 'r', 'python', 'scipy', 'sql', 'machine learning', 'database', 'azure', 'matplotlib', 'tableau']"/>
    <x v="2"/>
    <n v="129379.5"/>
  </r>
  <r>
    <x v="0"/>
    <x v="0"/>
    <s v="on-site"/>
    <s v="company_705"/>
    <x v="95"/>
    <s v="4 months ago"/>
    <x v="9"/>
    <x v="2"/>
    <s v="Private"/>
    <n v="90"/>
    <s v="Private"/>
    <s v="â‚¬155,269 - â‚¬189,976"/>
    <s v="[]"/>
    <x v="16"/>
    <n v="172622.5"/>
  </r>
  <r>
    <x v="0"/>
    <x v="0"/>
    <s v="hybrid"/>
    <s v="company_667"/>
    <x v="251"/>
    <s v="9 days ago"/>
    <x v="46"/>
    <x v="2"/>
    <s v="Private"/>
    <n v="2810"/>
    <s v="Private"/>
    <s v="â‚¬226,506"/>
    <s v="[]"/>
    <x v="5"/>
    <n v="226506"/>
  </r>
  <r>
    <x v="0"/>
    <x v="0"/>
    <s v="hybrid"/>
    <s v="company_083"/>
    <x v="252"/>
    <s v="21 days ago"/>
    <x v="137"/>
    <x v="2"/>
    <s v="Private"/>
    <n v="263610"/>
    <s v="â‚¬25.51B"/>
    <s v="â‚¬32,158"/>
    <s v="['pandas', 'numpy', 'aws', 'r', 'python', 'scikit-learn', 'machine learning', 'gcp', 'deep learning', 'azure', 'matplotlib']"/>
    <x v="18"/>
    <n v="32158"/>
  </r>
  <r>
    <x v="0"/>
    <x v="0"/>
    <s v="hybrid"/>
    <s v="company_870"/>
    <x v="253"/>
    <s v="13 days ago"/>
    <x v="27"/>
    <x v="2"/>
    <s v="Private"/>
    <n v="420"/>
    <s v="Private"/>
    <s v="â‚¬159,841 - â‚¬205,507"/>
    <s v="[]"/>
    <x v="9"/>
    <n v="182674"/>
  </r>
  <r>
    <x v="0"/>
    <x v="1"/>
    <s v="on-site"/>
    <s v="company_235"/>
    <x v="89"/>
    <s v="7 days ago"/>
    <x v="67"/>
    <x v="3"/>
    <s v="Private"/>
    <n v="33010"/>
    <s v="Private"/>
    <s v="â‚¬150,499 - â‚¬287,662"/>
    <s v="['r', 'python', 'sql', 'database', 'machine learning']"/>
    <x v="10"/>
    <n v="219080.5"/>
  </r>
  <r>
    <x v="0"/>
    <x v="1"/>
    <s v="on-site"/>
    <s v="company_871"/>
    <x v="20"/>
    <s v="7 days ago"/>
    <x v="9"/>
    <x v="2"/>
    <s v="Private"/>
    <n v="45"/>
    <s v="Private"/>
    <s v="â‚¬164,407 - â‚¬191,806"/>
    <s v="['pytorch', 'aws', 'machine learning', 'azure', 'deep learning', 'tensorflow']"/>
    <x v="10"/>
    <n v="178106.5"/>
  </r>
  <r>
    <x v="0"/>
    <x v="0"/>
    <s v="on-site"/>
    <s v="company_185"/>
    <x v="254"/>
    <s v="7 days ago"/>
    <x v="47"/>
    <x v="2"/>
    <s v="Public"/>
    <n v="97070"/>
    <s v="â‚¬75.05B"/>
    <s v="â‚¬158,745 - â‚¬197,653"/>
    <s v="['pandas', 'numpy', 'python', 'sql', 'database', 'matplotlib', 'tableau']"/>
    <x v="10"/>
    <n v="178199"/>
  </r>
  <r>
    <x v="0"/>
    <x v="3"/>
    <s v="Unknown"/>
    <s v="company_152"/>
    <x v="9"/>
    <s v="11 days ago"/>
    <x v="29"/>
    <x v="3"/>
    <s v="Public"/>
    <n v="53700"/>
    <s v="â‚¬19.70B"/>
    <s v="â‚¬125,135"/>
    <s v="['sql', 'machine learning', 'r', 'python']"/>
    <x v="17"/>
    <n v="125135"/>
  </r>
  <r>
    <x v="0"/>
    <x v="0"/>
    <s v="on-site"/>
    <s v="company_873"/>
    <x v="255"/>
    <s v="15 days ago"/>
    <x v="128"/>
    <x v="2"/>
    <s v="Private"/>
    <n v="75"/>
    <s v="Private"/>
    <s v="â‚¬146,140 - â‚¬219,206"/>
    <s v="[]"/>
    <x v="1"/>
    <n v="182673"/>
  </r>
  <r>
    <x v="0"/>
    <x v="4"/>
    <s v="Unknown"/>
    <s v="company_781"/>
    <x v="256"/>
    <s v="21 days ago"/>
    <x v="4"/>
    <x v="2"/>
    <s v="Public"/>
    <n v="96040"/>
    <s v="Public"/>
    <s v="â‚¬95,906"/>
    <s v="['spark', 'r', 'python', 'sql', 'machine learning']"/>
    <x v="18"/>
    <n v="95906"/>
  </r>
  <r>
    <x v="0"/>
    <x v="0"/>
    <s v="on-site"/>
    <s v="company_422"/>
    <x v="257"/>
    <s v="14 days ago"/>
    <x v="113"/>
    <x v="2"/>
    <s v="Public"/>
    <n v="2520"/>
    <s v="Public"/>
    <s v="â‚¬75,957 - â‚¬108,508"/>
    <s v="['amazon', 'r', 'python', 'sql', 'database', 'machine learning', 'tableau']"/>
    <x v="8"/>
    <n v="92232.5"/>
  </r>
  <r>
    <x v="0"/>
    <x v="4"/>
    <s v="Unknown"/>
    <s v="company_875"/>
    <x v="258"/>
    <s v="15 days ago"/>
    <x v="169"/>
    <x v="5"/>
    <s v="Public"/>
    <n v="3570"/>
    <s v="Public"/>
    <s v="â‚¬150,270 - â‚¬224,665"/>
    <s v="['sql', 'r', 'python']"/>
    <x v="1"/>
    <n v="187467.5"/>
  </r>
  <r>
    <x v="0"/>
    <x v="4"/>
    <s v="on-site"/>
    <s v="company_878"/>
    <x v="259"/>
    <s v="2 days ago"/>
    <x v="3"/>
    <x v="2"/>
    <s v="Public"/>
    <n v="21310"/>
    <s v="â‚¬144.62B"/>
    <s v="â‚¬99,560 - â‚¬175,732"/>
    <s v="['spark', 'python', 'sql', 'hadoop', 'machine learning']"/>
    <x v="13"/>
    <n v="137646"/>
  </r>
  <r>
    <x v="0"/>
    <x v="0"/>
    <s v="Unknown"/>
    <s v="company_879"/>
    <x v="145"/>
    <s v="23 days ago"/>
    <x v="159"/>
    <x v="3"/>
    <s v="Public"/>
    <n v="123020"/>
    <s v="Public"/>
    <s v="â‚¬41,559"/>
    <s v="['pandas', 'numpy', 'pytorch', 'aws', 'scikit-learn', 'python', 'docker', 'sql', 'machine learning', 'kubernetes', 'azure', 'tensorflow']"/>
    <x v="22"/>
    <n v="41559"/>
  </r>
  <r>
    <x v="0"/>
    <x v="0"/>
    <s v="on-site"/>
    <s v="company_880"/>
    <x v="30"/>
    <s v="a month ago"/>
    <x v="31"/>
    <x v="0"/>
    <s v="Public"/>
    <n v="27030"/>
    <s v="Public"/>
    <s v="â‚¬94,812 - â‚¬142,214"/>
    <s v="['aws', 'scikit-learn', 'python', 'sql', 'machine learning', 'gcp', 'azure']"/>
    <x v="2"/>
    <n v="118513"/>
  </r>
  <r>
    <x v="0"/>
    <x v="2"/>
    <s v="hybrid"/>
    <s v="company_403"/>
    <x v="140"/>
    <s v="8 days ago"/>
    <x v="8"/>
    <x v="0"/>
    <s v="Public"/>
    <n v="17040"/>
    <s v="Public"/>
    <s v="â‚¬110,516 - â‚¬120,563"/>
    <s v="[]"/>
    <x v="3"/>
    <n v="115539.5"/>
  </r>
  <r>
    <x v="0"/>
    <x v="0"/>
    <s v="Unknown"/>
    <s v="company_603"/>
    <x v="185"/>
    <s v="a month ago"/>
    <x v="75"/>
    <x v="4"/>
    <s v="Unknown"/>
    <n v="210"/>
    <s v="Education"/>
    <s v="â‚¬54,804"/>
    <s v="['neural network', 'machine learning', 'r', 'python']"/>
    <x v="2"/>
    <n v="54804"/>
  </r>
  <r>
    <x v="1"/>
    <x v="0"/>
    <s v="on-site"/>
    <s v="company_883"/>
    <x v="260"/>
    <s v="18 days ago"/>
    <x v="170"/>
    <x v="2"/>
    <s v="Public"/>
    <n v="117800"/>
    <s v="â‚¬104.16B"/>
    <s v="â‚¬114,167 - â‚¬127,867"/>
    <s v="['pytorch', 'machine learning', 'database', 'deep learning', 'tensorflow']"/>
    <x v="23"/>
    <n v="121017"/>
  </r>
  <r>
    <x v="0"/>
    <x v="1"/>
    <s v="remote"/>
    <s v="company_236"/>
    <x v="261"/>
    <s v="2 days ago"/>
    <x v="68"/>
    <x v="2"/>
    <s v="Private"/>
    <n v="30"/>
    <s v="Private"/>
    <s v="â‚¬200,938 - â‚¬246,604"/>
    <s v="['sql', 'machine learning']"/>
    <x v="13"/>
    <n v="223771"/>
  </r>
  <r>
    <x v="0"/>
    <x v="0"/>
    <s v="hybrid"/>
    <s v="company_032"/>
    <x v="262"/>
    <s v="3 months ago"/>
    <x v="171"/>
    <x v="2"/>
    <s v="Public"/>
    <n v="110020"/>
    <s v="â‚¬84.89B"/>
    <s v="â‚¬149,700 - â‚¬224,593"/>
    <s v="['pandas', 'numpy', 'scikit-learn', 'python', 'sql', 'machine learning', 'deep learning']"/>
    <x v="4"/>
    <n v="187146.5"/>
  </r>
  <r>
    <x v="0"/>
    <x v="4"/>
    <s v="hybrid"/>
    <s v="company_061"/>
    <x v="27"/>
    <s v="7 days ago"/>
    <x v="24"/>
    <x v="2"/>
    <s v="Public"/>
    <n v="1310"/>
    <s v="Public"/>
    <s v="â‚¬36,538 - â‚¬54,805"/>
    <s v="['airflow', 'spark', 'machine learning', 'python']"/>
    <x v="10"/>
    <n v="45671.5"/>
  </r>
  <r>
    <x v="0"/>
    <x v="0"/>
    <s v="Unknown"/>
    <s v="company_366"/>
    <x v="132"/>
    <s v="4 days ago"/>
    <x v="101"/>
    <x v="2"/>
    <s v="Private"/>
    <n v="180"/>
    <s v="Private"/>
    <s v="â‚¬73,072"/>
    <s v="['spark', 'aws', 'python', 'sql', 'machine learning', 'gcp', 'azure']"/>
    <x v="16"/>
    <n v="73072"/>
  </r>
  <r>
    <x v="0"/>
    <x v="0"/>
    <s v="Unknown"/>
    <s v="company_291"/>
    <x v="263"/>
    <s v="4 days ago"/>
    <x v="19"/>
    <x v="2"/>
    <s v="Public"/>
    <n v="261040"/>
    <s v="â‚¬71.08B"/>
    <s v="â‚¬9,585"/>
    <s v="['aws', 'r', 'python', 'sql', 'neural network', 'gcp', 'azure']"/>
    <x v="16"/>
    <n v="9585"/>
  </r>
  <r>
    <x v="0"/>
    <x v="0"/>
    <s v="hybrid"/>
    <s v="company_309"/>
    <x v="264"/>
    <s v="5 days ago"/>
    <x v="5"/>
    <x v="2"/>
    <s v="Private"/>
    <n v="3510"/>
    <s v="Private"/>
    <s v="â‚¬137,008 - â‚¬150,708"/>
    <s v="['pandas', 'pytorch', 'aws', 'r', 'python', 'sql', 'machine learning', 'deep learning']"/>
    <x v="15"/>
    <n v="143858"/>
  </r>
  <r>
    <x v="0"/>
    <x v="0"/>
    <s v="hybrid"/>
    <s v="company_885"/>
    <x v="265"/>
    <s v="14 days ago"/>
    <x v="66"/>
    <x v="2"/>
    <s v="Unknown"/>
    <n v="1060"/>
    <s v="Nonprofit"/>
    <s v="â‚¬130,245 - â‚¬203,539"/>
    <s v="['sql', 'r', 'python']"/>
    <x v="8"/>
    <n v="166892"/>
  </r>
  <r>
    <x v="1"/>
    <x v="0"/>
    <s v="Unknown"/>
    <s v="company_889"/>
    <x v="266"/>
    <s v="3 months ago"/>
    <x v="58"/>
    <x v="6"/>
    <s v="Public"/>
    <n v="6160"/>
    <s v="Public"/>
    <s v="â‚¬187,238 - â‚¬216,464"/>
    <s v="['spark', 'python', 'scala', 'java', 'airflow', 'gcp', 'machine learning', 'tensorflow']"/>
    <x v="4"/>
    <n v="201851"/>
  </r>
  <r>
    <x v="1"/>
    <x v="2"/>
    <s v="on-site"/>
    <s v="company_312"/>
    <x v="83"/>
    <s v="6 days ago"/>
    <x v="86"/>
    <x v="2"/>
    <s v="Private"/>
    <n v="31"/>
    <s v="Private"/>
    <s v="â‚¬200,936 - â‚¬296,835"/>
    <s v="[]"/>
    <x v="6"/>
    <n v="248885.5"/>
  </r>
  <r>
    <x v="0"/>
    <x v="0"/>
    <s v="on-site"/>
    <s v="company_744"/>
    <x v="267"/>
    <s v="14 days ago"/>
    <x v="153"/>
    <x v="3"/>
    <s v="Public"/>
    <n v="3790"/>
    <s v="Public"/>
    <s v="â‚¬81,245 - â‚¬150,875"/>
    <s v="['aws', 'r', 'python', 'sql', 'machine learning', 'azure']"/>
    <x v="8"/>
    <n v="116060"/>
  </r>
  <r>
    <x v="0"/>
    <x v="0"/>
    <s v="Unknown"/>
    <s v="company_894"/>
    <x v="58"/>
    <s v="7 days ago"/>
    <x v="172"/>
    <x v="2"/>
    <s v="Private"/>
    <n v="510"/>
    <s v="Private"/>
    <s v="â‚¬100,473"/>
    <s v="['machine learning']"/>
    <x v="10"/>
    <n v="100473"/>
  </r>
  <r>
    <x v="0"/>
    <x v="0"/>
    <s v="Unknown"/>
    <s v="company_895"/>
    <x v="110"/>
    <s v="3 months ago"/>
    <x v="173"/>
    <x v="2"/>
    <s v="Public"/>
    <n v="16070"/>
    <s v="Public"/>
    <s v="â‚¬110,337 - â‚¬198,564"/>
    <s v="['sql', 'machine learning', 'r', 'python']"/>
    <x v="4"/>
    <n v="154450.5"/>
  </r>
  <r>
    <x v="0"/>
    <x v="0"/>
    <s v="Unknown"/>
    <s v="company_896"/>
    <x v="205"/>
    <s v="14 days ago"/>
    <x v="90"/>
    <x v="3"/>
    <s v="Public"/>
    <n v="100050"/>
    <s v="Public"/>
    <s v="â‚¬75,815"/>
    <s v="['sql', 'machine learning', 'python']"/>
    <x v="8"/>
    <n v="75815"/>
  </r>
  <r>
    <x v="1"/>
    <x v="0"/>
    <s v="Unknown"/>
    <s v="company_371"/>
    <x v="121"/>
    <s v="7 days ago"/>
    <x v="93"/>
    <x v="5"/>
    <s v="Private"/>
    <n v="250"/>
    <s v="Private"/>
    <s v="â‚¬155,270 - â‚¬212,810"/>
    <s v="['pytorch', 'deep learning', 'machine learning', 'python']"/>
    <x v="10"/>
    <n v="184040"/>
  </r>
  <r>
    <x v="0"/>
    <x v="0"/>
    <s v="hybrid"/>
    <s v="company_115"/>
    <x v="49"/>
    <s v="7 days ago"/>
    <x v="40"/>
    <x v="3"/>
    <s v="Public"/>
    <n v="68440"/>
    <s v="Public"/>
    <s v="â‚¬24,203"/>
    <s v="['pytorch', 'aws', 'python', 'sql', 'gcp', 'azure', 'tensorflow']"/>
    <x v="10"/>
    <n v="24203"/>
  </r>
  <r>
    <x v="0"/>
    <x v="0"/>
    <s v="on-site"/>
    <s v="company_251"/>
    <x v="116"/>
    <s v="14 days ago"/>
    <x v="89"/>
    <x v="2"/>
    <s v="Public"/>
    <n v="65130"/>
    <s v="Public"/>
    <s v="â‚¬58,368 - â‚¬156,350"/>
    <s v="['aws', 'powerbi', 'r', 'python', 'sql', 'machine learning', 'tableau']"/>
    <x v="8"/>
    <n v="107359"/>
  </r>
  <r>
    <x v="0"/>
    <x v="2"/>
    <s v="on-site"/>
    <s v="company_096"/>
    <x v="268"/>
    <s v="a month ago"/>
    <x v="9"/>
    <x v="3"/>
    <s v="Private"/>
    <n v="950"/>
    <s v="â‚¬11.38B"/>
    <s v="â‚¬138,834 - â‚¬173,541"/>
    <s v="[]"/>
    <x v="2"/>
    <n v="156187.5"/>
  </r>
  <r>
    <x v="0"/>
    <x v="0"/>
    <s v="hybrid"/>
    <s v="company_146"/>
    <x v="60"/>
    <s v="12 days ago"/>
    <x v="9"/>
    <x v="3"/>
    <s v="Private"/>
    <n v="780"/>
    <s v="â‚¬11.85B"/>
    <s v="â‚¬179,015 - â‚¬246,144"/>
    <s v="[]"/>
    <x v="14"/>
    <n v="212579.5"/>
  </r>
  <r>
    <x v="0"/>
    <x v="2"/>
    <s v="hybrid"/>
    <s v="company_081"/>
    <x v="269"/>
    <s v="7 days ago"/>
    <x v="9"/>
    <x v="2"/>
    <s v="Public"/>
    <n v="5010"/>
    <s v="â‚¬4.42B"/>
    <s v="â‚¬98,647"/>
    <s v="[]"/>
    <x v="10"/>
    <n v="98647"/>
  </r>
  <r>
    <x v="0"/>
    <x v="0"/>
    <s v="Unknown"/>
    <s v="company_293"/>
    <x v="14"/>
    <s v="5 months ago"/>
    <x v="19"/>
    <x v="2"/>
    <s v="Private"/>
    <n v="15470"/>
    <s v="â‚¬9.87B"/>
    <s v="â‚¬36,101"/>
    <s v="['deep learning', 'machine learning', 'python']"/>
    <x v="15"/>
    <n v="36101"/>
  </r>
  <r>
    <x v="0"/>
    <x v="0"/>
    <s v="on-site"/>
    <s v="company_007"/>
    <x v="270"/>
    <s v="7 days ago"/>
    <x v="2"/>
    <x v="2"/>
    <s v="Public"/>
    <n v="25920"/>
    <s v="â‚¬33.70B"/>
    <s v="â‚¬121,844 - â‚¬176,460"/>
    <s v="['git', 'python', 'docker', 'sql', 'machine learning', 'kubernetes', 'deep learning']"/>
    <x v="10"/>
    <n v="149152"/>
  </r>
  <r>
    <x v="1"/>
    <x v="0"/>
    <s v="on-site"/>
    <s v="company_135"/>
    <x v="56"/>
    <s v="2 months ago"/>
    <x v="43"/>
    <x v="2"/>
    <s v="Private"/>
    <n v="530"/>
    <s v="Private"/>
    <s v="â‚¬36,342"/>
    <s v="[]"/>
    <x v="13"/>
    <n v="36342"/>
  </r>
  <r>
    <x v="0"/>
    <x v="1"/>
    <s v="hybrid"/>
    <s v="company_905"/>
    <x v="199"/>
    <s v="3 months ago"/>
    <x v="174"/>
    <x v="3"/>
    <s v="Public"/>
    <n v="16880"/>
    <s v="Public"/>
    <s v="â‚¬105,680 - â‚¬176,131"/>
    <s v="['python', 'neural network', 'sql', 'database', 'machine learning', 'tableau']"/>
    <x v="4"/>
    <n v="140905.5"/>
  </r>
  <r>
    <x v="0"/>
    <x v="0"/>
    <s v="on-site"/>
    <s v="company_392"/>
    <x v="30"/>
    <s v="a month ago"/>
    <x v="106"/>
    <x v="3"/>
    <s v="Public"/>
    <n v="62070"/>
    <s v="â‚¬35.42B"/>
    <s v="â‚¬157,013 - â‚¬263,790"/>
    <s v="['spark', 'aws', 'python', 'sql', 'machine learning', 'gcp', 'azure']"/>
    <x v="2"/>
    <n v="210401.5"/>
  </r>
  <r>
    <x v="0"/>
    <x v="0"/>
    <s v="Unknown"/>
    <s v="company_047"/>
    <x v="271"/>
    <s v="7 days ago"/>
    <x v="19"/>
    <x v="2"/>
    <s v="Public"/>
    <n v="222030"/>
    <s v="â‚¬24.16B"/>
    <s v="â‚¬10,048"/>
    <s v="['aws', 'machine learning']"/>
    <x v="10"/>
    <n v="10048"/>
  </r>
  <r>
    <x v="0"/>
    <x v="1"/>
    <s v="on-site"/>
    <s v="company_909"/>
    <x v="5"/>
    <s v="a month ago"/>
    <x v="175"/>
    <x v="3"/>
    <s v="Private"/>
    <n v="32340"/>
    <s v="Private"/>
    <s v="â‚¬129,722 - â‚¬230,343"/>
    <s v="['spark', 'r', 'python', 'java', 'sql', 'machine learning']"/>
    <x v="2"/>
    <n v="180032.5"/>
  </r>
  <r>
    <x v="0"/>
    <x v="1"/>
    <s v="remote"/>
    <s v="company_022"/>
    <x v="9"/>
    <s v="3 days ago"/>
    <x v="10"/>
    <x v="2"/>
    <s v="Public"/>
    <n v="103070"/>
    <s v="â‚¬128.23B"/>
    <s v="â‚¬96,818"/>
    <s v="['pytorch', 'spark', 'aws', 'python', 'machine learning', 'gcp', 'deep learning', 'keras', 'azure', 'tensorflow']"/>
    <x v="4"/>
    <n v="96818"/>
  </r>
  <r>
    <x v="0"/>
    <x v="0"/>
    <s v="Unknown"/>
    <s v="company_912"/>
    <x v="263"/>
    <s v="7 days ago"/>
    <x v="176"/>
    <x v="2"/>
    <s v="Private"/>
    <n v="3980"/>
    <s v="Private"/>
    <s v="â‚¬35,019"/>
    <s v="['pandas', 'numpy', 'pytorch', 'spark', 'git', 'python', 'docker', 'database', 'deep learning', 'sql', 'machine learning', 'gcp', 'kubernetes', 'keras', 'azure', 'matplotlib', 'tensorflow']"/>
    <x v="10"/>
    <n v="35019"/>
  </r>
  <r>
    <x v="0"/>
    <x v="0"/>
    <s v="on-site"/>
    <s v="company_367"/>
    <x v="4"/>
    <s v="a month ago"/>
    <x v="5"/>
    <x v="2"/>
    <s v="Private"/>
    <n v="420"/>
    <s v="Private"/>
    <s v="â‚¬192,721 - â‚¬216,467"/>
    <s v="[]"/>
    <x v="2"/>
    <n v="204594"/>
  </r>
  <r>
    <x v="0"/>
    <x v="4"/>
    <s v="on-site"/>
    <s v="company_395"/>
    <x v="131"/>
    <s v="18 days ago"/>
    <x v="107"/>
    <x v="0"/>
    <s v="Public"/>
    <n v="55090"/>
    <s v="â‚¬36.38B"/>
    <s v="â‚¬144,860 - â‚¬165,319"/>
    <s v="['spark', 'aws', 'r', 'python', 'scala', 'sql', 'machine learning', 'database', 'deep learning']"/>
    <x v="23"/>
    <n v="155089.5"/>
  </r>
  <r>
    <x v="0"/>
    <x v="4"/>
    <s v="on-site"/>
    <s v="company_914"/>
    <x v="272"/>
    <s v="14 days ago"/>
    <x v="149"/>
    <x v="2"/>
    <s v="Public"/>
    <n v="510"/>
    <s v="Public"/>
    <s v="â‚¬100,470 - â‚¬114,170"/>
    <s v="['machine learning', 'python']"/>
    <x v="8"/>
    <n v="107320"/>
  </r>
  <r>
    <x v="0"/>
    <x v="0"/>
    <s v="remote"/>
    <s v="company_695"/>
    <x v="273"/>
    <s v="14 days ago"/>
    <x v="69"/>
    <x v="2"/>
    <s v="Public"/>
    <n v="9200"/>
    <s v="Public"/>
    <s v="â‚¬85,856 - â‚¬167,004"/>
    <s v="['pytorch', 'aws', 'r', 'python', 'machine learning', 'gcp', 'azure', 'tensorflow']"/>
    <x v="8"/>
    <n v="126430"/>
  </r>
  <r>
    <x v="0"/>
    <x v="1"/>
    <s v="on-site"/>
    <s v="company_916"/>
    <x v="30"/>
    <s v="a month ago"/>
    <x v="152"/>
    <x v="2"/>
    <s v="Public"/>
    <n v="1300"/>
    <s v="Public"/>
    <s v="â‚¬138,102 - â‚¬172,625"/>
    <s v="['sql', 'machine learning', 'r', 'python']"/>
    <x v="2"/>
    <n v="155363.5"/>
  </r>
  <r>
    <x v="0"/>
    <x v="0"/>
    <s v="Unknown"/>
    <s v="company_917"/>
    <x v="14"/>
    <s v="10 days ago"/>
    <x v="46"/>
    <x v="2"/>
    <s v="Public"/>
    <n v="258790"/>
    <s v="â‚¬1.34T"/>
    <s v="â‚¬42,493"/>
    <s v="['pandas', 'r', 'python', 'sql', 'database']"/>
    <x v="19"/>
    <n v="42493"/>
  </r>
  <r>
    <x v="0"/>
    <x v="0"/>
    <s v="Unknown"/>
    <s v="company_171"/>
    <x v="106"/>
    <s v="15 days ago"/>
    <x v="52"/>
    <x v="2"/>
    <s v="Public"/>
    <n v="524608"/>
    <s v="â‚¬119.23B"/>
    <s v="â‚¬27,276 - â‚¬52,697"/>
    <s v="['database', 'machine learning', 'java']"/>
    <x v="1"/>
    <n v="39986.5"/>
  </r>
  <r>
    <x v="0"/>
    <x v="0"/>
    <s v="on-site"/>
    <s v="company_310"/>
    <x v="274"/>
    <s v="3 months ago"/>
    <x v="85"/>
    <x v="2"/>
    <s v="Public"/>
    <n v="20050"/>
    <s v="Public"/>
    <s v="â‚¬104,676 - â‚¬230,258"/>
    <s v="['r', 'python', 'linux', 'java', 'sql', 'machine learning', 'database', 'deep learning']"/>
    <x v="4"/>
    <n v="167467"/>
  </r>
  <r>
    <x v="0"/>
    <x v="4"/>
    <s v="hybrid"/>
    <s v="company_080"/>
    <x v="96"/>
    <s v="5 days ago"/>
    <x v="17"/>
    <x v="3"/>
    <s v="Public"/>
    <n v="26050"/>
    <s v="Public"/>
    <s v="â‚¬109,786 - â‚¬164,585"/>
    <s v="['pytorch', 'aws', 'scikit-learn', 'python', 'machine learning']"/>
    <x v="15"/>
    <n v="137185.5"/>
  </r>
  <r>
    <x v="0"/>
    <x v="0"/>
    <s v="remote"/>
    <s v="company_746"/>
    <x v="30"/>
    <s v="14 days ago"/>
    <x v="154"/>
    <x v="2"/>
    <s v="Private"/>
    <n v="90"/>
    <s v="Private"/>
    <s v="â‚¬114,973 - â‚¬141,567"/>
    <s v="['sql', 'machine learning', 'python']"/>
    <x v="8"/>
    <n v="128270"/>
  </r>
  <r>
    <x v="0"/>
    <x v="0"/>
    <s v="hybrid"/>
    <s v="company_922"/>
    <x v="275"/>
    <s v="10 days ago"/>
    <x v="177"/>
    <x v="3"/>
    <s v="Public"/>
    <n v="18200"/>
    <s v="â‚¬21.55B"/>
    <s v="â‚¬100,036 - â‚¬150,050"/>
    <s v="['machine learning']"/>
    <x v="19"/>
    <n v="125043"/>
  </r>
  <r>
    <x v="0"/>
    <x v="0"/>
    <s v="remote"/>
    <s v="company_416"/>
    <x v="276"/>
    <s v="a month ago"/>
    <x v="46"/>
    <x v="2"/>
    <s v="Private"/>
    <n v="360"/>
    <s v="â‚¬1.80B"/>
    <s v="â‚¬164,407 - â‚¬182,673"/>
    <s v="['aws', 'python', 'machine learning', 'gcp', 'kubernetes', 'azure']"/>
    <x v="2"/>
    <n v="173540"/>
  </r>
  <r>
    <x v="0"/>
    <x v="0"/>
    <s v="on-site"/>
    <s v="company_415"/>
    <x v="277"/>
    <s v="22 days ago"/>
    <x v="5"/>
    <x v="2"/>
    <s v="Private"/>
    <n v="900"/>
    <s v="â‚¬4.50B"/>
    <s v="â‚¬172,624"/>
    <s v="[]"/>
    <x v="20"/>
    <n v="172624"/>
  </r>
  <r>
    <x v="0"/>
    <x v="0"/>
    <s v="on-site"/>
    <s v="company_893"/>
    <x v="278"/>
    <s v="8 days ago"/>
    <x v="178"/>
    <x v="2"/>
    <s v="Unknown"/>
    <s v="Private"/>
    <s v="Not Mentioned"/>
    <s v="â‚¬117,553 - â‚¬159,840"/>
    <s v="['aws', 'git', 'r', 'python', 'docker']"/>
    <x v="3"/>
    <n v="138696.5"/>
  </r>
  <r>
    <x v="0"/>
    <x v="2"/>
    <s v="on-site"/>
    <s v="company_096"/>
    <x v="268"/>
    <s v="a month ago"/>
    <x v="9"/>
    <x v="3"/>
    <s v="Private"/>
    <n v="950"/>
    <s v="â‚¬11.33B"/>
    <s v="â‚¬138,826 - â‚¬173,533"/>
    <s v="[]"/>
    <x v="2"/>
    <n v="156179.5"/>
  </r>
  <r>
    <x v="0"/>
    <x v="4"/>
    <s v="remote"/>
    <s v="company_421"/>
    <x v="279"/>
    <s v="14 days ago"/>
    <x v="112"/>
    <x v="2"/>
    <s v="Unknown"/>
    <s v="Private"/>
    <s v="Not Mentioned"/>
    <s v="â‚¬25,211"/>
    <s v="['sql', 'machine learning', 'python']"/>
    <x v="8"/>
    <n v="25211"/>
  </r>
  <r>
    <x v="0"/>
    <x v="2"/>
    <s v="hybrid"/>
    <s v="company_081"/>
    <x v="269"/>
    <s v="7 days ago"/>
    <x v="9"/>
    <x v="2"/>
    <s v="Public"/>
    <n v="5010"/>
    <s v="â‚¬4.42B"/>
    <s v="â‚¬98,642 - â‚¬123,302"/>
    <s v="[]"/>
    <x v="10"/>
    <n v="110972"/>
  </r>
  <r>
    <x v="0"/>
    <x v="0"/>
    <s v="Unknown"/>
    <s v="company_924"/>
    <x v="280"/>
    <s v="3 months ago"/>
    <x v="179"/>
    <x v="4"/>
    <s v="Unknown"/>
    <n v="19503"/>
    <s v="Education"/>
    <s v="â‚¬55,715 - â‚¬58,455"/>
    <s v="['pandas', 'numpy', 'pytorch', 'r', 'python', 'scikit-learn', 'scipy', 'machine learning', 'keras', 'deep learning', 'tensorflow']"/>
    <x v="4"/>
    <n v="57085"/>
  </r>
  <r>
    <x v="0"/>
    <x v="0"/>
    <s v="hybrid"/>
    <s v="company_925"/>
    <x v="281"/>
    <s v="a month ago"/>
    <x v="180"/>
    <x v="2"/>
    <s v="Private"/>
    <n v="150"/>
    <s v="Private"/>
    <s v="â‚¬164,401 - â‚¬214,633"/>
    <s v="['pandas', 'spark', 'aws', 'r', 'python', 'scikit-learn', 'opencv', 'sql', 'machine learning', 'gcp', 'deep learning']"/>
    <x v="2"/>
    <n v="189517"/>
  </r>
  <r>
    <x v="0"/>
    <x v="0"/>
    <s v="Unknown"/>
    <s v="company_928"/>
    <x v="282"/>
    <s v="12 days ago"/>
    <x v="181"/>
    <x v="2"/>
    <s v="Private"/>
    <n v="4770"/>
    <s v="Private"/>
    <s v="â‚¬53,099"/>
    <s v="['deep learning', 'aws', 'machine learning', 'python']"/>
    <x v="14"/>
    <n v="53099"/>
  </r>
  <r>
    <x v="0"/>
    <x v="0"/>
    <s v="on-site"/>
    <s v="company_930"/>
    <x v="33"/>
    <s v="21 days ago"/>
    <x v="31"/>
    <x v="5"/>
    <s v="Private"/>
    <n v="1530"/>
    <s v="Private"/>
    <s v="â‚¬167,749 - â‚¬215,676"/>
    <s v="['pytorch', 'python', 'java', 'sql', 'machine learning', 'deep learning', 'tensorflow']"/>
    <x v="18"/>
    <n v="191712.5"/>
  </r>
  <r>
    <x v="0"/>
    <x v="0"/>
    <s v="on-site"/>
    <s v="company_932"/>
    <x v="283"/>
    <s v="25 days ago"/>
    <x v="59"/>
    <x v="2"/>
    <s v="Public"/>
    <n v="51070"/>
    <s v="Public"/>
    <s v="â‚¬140,657 - â‚¬216,600"/>
    <s v="['sql', 'powerbi', 'machine learning', 'python']"/>
    <x v="11"/>
    <n v="178628.5"/>
  </r>
  <r>
    <x v="0"/>
    <x v="0"/>
    <s v="Unknown"/>
    <s v="company_937"/>
    <x v="9"/>
    <s v="6 months ago"/>
    <x v="29"/>
    <x v="0"/>
    <s v="Public"/>
    <n v="500010"/>
    <s v="Public"/>
    <s v="â‚¬111,435"/>
    <s v="['sql', 'tableau', 'python']"/>
    <x v="6"/>
    <n v="111435"/>
  </r>
  <r>
    <x v="0"/>
    <x v="0"/>
    <s v="hybrid"/>
    <s v="company_008"/>
    <x v="117"/>
    <s v="3 months ago"/>
    <x v="3"/>
    <x v="2"/>
    <s v="Public"/>
    <n v="34660"/>
    <s v="â‚¬81.76B"/>
    <s v="â‚¬139,285 - â‚¬239,614"/>
    <s v="['sql', 'machine learning', 'python']"/>
    <x v="4"/>
    <n v="189449.5"/>
  </r>
  <r>
    <x v="1"/>
    <x v="0"/>
    <s v="remote"/>
    <s v="company_690"/>
    <x v="284"/>
    <s v="a day ago"/>
    <x v="147"/>
    <x v="5"/>
    <s v="Public"/>
    <n v="22020"/>
    <s v="Public"/>
    <s v="â‚¬125,529 - â‚¬153,424"/>
    <s v="['machine learning', 'python']"/>
    <x v="2"/>
    <n v="139476.5"/>
  </r>
  <r>
    <x v="0"/>
    <x v="0"/>
    <s v="remote"/>
    <s v="company_169"/>
    <x v="8"/>
    <s v="4 days ago"/>
    <x v="9"/>
    <x v="2"/>
    <s v="Public"/>
    <n v="4110"/>
    <s v="â‚¬7.79B"/>
    <s v="â‚¬184,866 - â‚¬207,973"/>
    <s v="[]"/>
    <x v="16"/>
    <n v="196419.5"/>
  </r>
  <r>
    <x v="1"/>
    <x v="3"/>
    <s v="Unknown"/>
    <s v="company_941"/>
    <x v="14"/>
    <s v="14 days ago"/>
    <x v="182"/>
    <x v="2"/>
    <s v="Public"/>
    <n v="492245"/>
    <s v="â‚¬153.30B"/>
    <s v="â‚¬10,527 - â‚¬26,188"/>
    <s v="['machine learning']"/>
    <x v="8"/>
    <n v="18357.5"/>
  </r>
  <r>
    <x v="0"/>
    <x v="0"/>
    <s v="remote"/>
    <s v="company_611"/>
    <x v="285"/>
    <s v="22 days ago"/>
    <x v="44"/>
    <x v="2"/>
    <s v="Public"/>
    <n v="2540"/>
    <s v="Public"/>
    <s v="â‚¬137,006 - â‚¬200,939"/>
    <s v="[]"/>
    <x v="20"/>
    <n v="168972.5"/>
  </r>
  <r>
    <x v="0"/>
    <x v="0"/>
    <s v="hybrid"/>
    <s v="company_214"/>
    <x v="286"/>
    <s v="a month ago"/>
    <x v="183"/>
    <x v="2"/>
    <s v="Public"/>
    <n v="57290"/>
    <s v="â‚¬17.25B"/>
    <s v="â‚¬105,769"/>
    <s v="['r', 'python', 'sql', 'machine learning', 'matplotlib', 'tableau']"/>
    <x v="2"/>
    <n v="105769"/>
  </r>
  <r>
    <x v="0"/>
    <x v="1"/>
    <s v="hybrid"/>
    <s v="company_728"/>
    <x v="93"/>
    <s v="a month ago"/>
    <x v="149"/>
    <x v="2"/>
    <s v="Private"/>
    <n v="150"/>
    <s v="Private"/>
    <s v="â‚¬258,479"/>
    <s v="[]"/>
    <x v="2"/>
    <n v="258479"/>
  </r>
  <r>
    <x v="0"/>
    <x v="0"/>
    <s v="Unknown"/>
    <s v="company_223"/>
    <x v="287"/>
    <s v="2 months ago"/>
    <x v="5"/>
    <x v="2"/>
    <s v="Public"/>
    <n v="10060"/>
    <s v="Public"/>
    <s v="â‚¬76,371"/>
    <s v="['powerbi', 'python', 'sql', 'machine learning', 'tableau']"/>
    <x v="13"/>
    <n v="76371"/>
  </r>
  <r>
    <x v="0"/>
    <x v="1"/>
    <s v="hybrid"/>
    <s v="company_947"/>
    <x v="76"/>
    <s v="a month ago"/>
    <x v="5"/>
    <x v="2"/>
    <s v="Private"/>
    <n v="2020"/>
    <s v="Private"/>
    <s v="â‚¬109,604 - â‚¬200,937"/>
    <s v="[]"/>
    <x v="2"/>
    <n v="155270.5"/>
  </r>
  <r>
    <x v="1"/>
    <x v="0"/>
    <s v="on-site"/>
    <s v="company_156"/>
    <x v="63"/>
    <s v="16 days ago"/>
    <x v="46"/>
    <x v="2"/>
    <s v="Private"/>
    <n v="900"/>
    <s v="â‚¬8.05B"/>
    <s v="â‚¬184,816 - â‚¬276,788"/>
    <s v="[]"/>
    <x v="21"/>
    <n v="230802"/>
  </r>
  <r>
    <x v="0"/>
    <x v="0"/>
    <s v="on-site"/>
    <s v="company_273"/>
    <x v="287"/>
    <s v="6 months ago"/>
    <x v="7"/>
    <x v="2"/>
    <s v="Public"/>
    <n v="94530"/>
    <s v="â‚¬230.27B"/>
    <s v="â‚¬103,877 - â‚¬144,998"/>
    <s v="['sql', 'r', 'python']"/>
    <x v="6"/>
    <n v="124437.5"/>
  </r>
  <r>
    <x v="1"/>
    <x v="0"/>
    <s v="remote"/>
    <s v="company_949"/>
    <x v="32"/>
    <s v="21 days ago"/>
    <x v="9"/>
    <x v="2"/>
    <s v="Private"/>
    <n v="150"/>
    <s v="Private"/>
    <s v="â‚¬155,272 - â‚¬200,939"/>
    <s v="['pytorch', 'aws', 'r', 'python', 'machine learning', 'gcp', 'deep learning']"/>
    <x v="18"/>
    <n v="178105.5"/>
  </r>
  <r>
    <x v="0"/>
    <x v="0"/>
    <s v="remote"/>
    <s v="company_950"/>
    <x v="32"/>
    <s v="14 days ago"/>
    <x v="5"/>
    <x v="2"/>
    <s v="Private"/>
    <n v="30"/>
    <s v="Private"/>
    <s v="â‚¬109,601 - â‚¬173,534"/>
    <s v="['sql', 'tableau', 'python']"/>
    <x v="8"/>
    <n v="141567.5"/>
  </r>
  <r>
    <x v="0"/>
    <x v="1"/>
    <s v="remote"/>
    <s v="company_951"/>
    <x v="5"/>
    <s v="7 days ago"/>
    <x v="5"/>
    <x v="3"/>
    <s v="Private"/>
    <n v="8010"/>
    <s v="Private"/>
    <s v="â‚¬136,032 - â‚¬223,478"/>
    <s v="['pytorch', 'python', 'machine learning', 'deep learning', 'tensorflow']"/>
    <x v="10"/>
    <n v="179755"/>
  </r>
  <r>
    <x v="0"/>
    <x v="0"/>
    <s v="Unknown"/>
    <s v="company_052"/>
    <x v="24"/>
    <s v="a month ago"/>
    <x v="9"/>
    <x v="2"/>
    <s v="Public"/>
    <n v="26910"/>
    <s v="â‚¬53.25B"/>
    <s v="â‚¬72,513"/>
    <s v="['tableau', 'sql', 'r', 'python']"/>
    <x v="2"/>
    <n v="72513"/>
  </r>
  <r>
    <x v="0"/>
    <x v="2"/>
    <s v="hybrid"/>
    <s v="company_952"/>
    <x v="76"/>
    <s v="6 days ago"/>
    <x v="184"/>
    <x v="4"/>
    <s v="Private"/>
    <n v="390"/>
    <s v="Private"/>
    <s v="â‚¬109,600 - â‚¬137,000"/>
    <s v="[]"/>
    <x v="6"/>
    <n v="123300"/>
  </r>
  <r>
    <x v="0"/>
    <x v="0"/>
    <s v="hybrid"/>
    <s v="company_146"/>
    <x v="288"/>
    <s v="12 days ago"/>
    <x v="9"/>
    <x v="3"/>
    <s v="Private"/>
    <n v="780"/>
    <s v="â‚¬11.80B"/>
    <s v="â‚¬175,364 - â‚¬241,124"/>
    <s v="[]"/>
    <x v="14"/>
    <n v="208244"/>
  </r>
  <r>
    <x v="0"/>
    <x v="4"/>
    <s v="on-site"/>
    <s v="company_105"/>
    <x v="289"/>
    <s v="15 days ago"/>
    <x v="5"/>
    <x v="2"/>
    <s v="Private"/>
    <n v="30060"/>
    <s v="Private"/>
    <s v="â‚¬24,227"/>
    <s v="['aws', 'python', 'docker', 'machine learning', 'gcp', 'kubernetes', 'azure']"/>
    <x v="1"/>
    <n v="24227"/>
  </r>
  <r>
    <x v="0"/>
    <x v="0"/>
    <s v="Unknown"/>
    <s v="company_954"/>
    <x v="290"/>
    <s v="14 days ago"/>
    <x v="185"/>
    <x v="2"/>
    <s v="Private"/>
    <n v="15"/>
    <s v="Private"/>
    <s v="â‚¬137,004 - â‚¬228,336"/>
    <s v="[]"/>
    <x v="8"/>
    <n v="182670"/>
  </r>
  <r>
    <x v="0"/>
    <x v="2"/>
    <s v="remote"/>
    <s v="company_675"/>
    <x v="52"/>
    <s v="6 days ago"/>
    <x v="144"/>
    <x v="2"/>
    <s v="Private"/>
    <n v="45"/>
    <s v="Private"/>
    <s v="â‚¬118,741 - â‚¬182,674"/>
    <s v="[]"/>
    <x v="6"/>
    <n v="150707.5"/>
  </r>
  <r>
    <x v="0"/>
    <x v="0"/>
    <s v="Unknown"/>
    <s v="company_270"/>
    <x v="205"/>
    <s v="7 days ago"/>
    <x v="76"/>
    <x v="5"/>
    <s v="Public"/>
    <n v="300070"/>
    <s v="â‚¬121.37B"/>
    <s v="â‚¬76,206 - â‚¬203,204"/>
    <s v="['git', 'python', 'docker', 'sql', 'machine learning', 'kubernetes', 'azure']"/>
    <x v="10"/>
    <n v="139705"/>
  </r>
  <r>
    <x v="0"/>
    <x v="0"/>
    <s v="hybrid"/>
    <s v="company_115"/>
    <x v="49"/>
    <s v="a day ago"/>
    <x v="40"/>
    <x v="3"/>
    <s v="Public"/>
    <n v="68430"/>
    <s v="Public"/>
    <s v="â‚¬24,205"/>
    <s v="['pytorch', 'aws', 'python', 'sql', 'gcp', 'azure', 'tensorflow']"/>
    <x v="2"/>
    <n v="24205"/>
  </r>
  <r>
    <x v="0"/>
    <x v="1"/>
    <s v="Unknown"/>
    <s v="company_244"/>
    <x v="14"/>
    <s v="5 days ago"/>
    <x v="5"/>
    <x v="3"/>
    <s v="Public"/>
    <n v="290770"/>
    <s v="â‚¬350.37B"/>
    <s v="â‚¬42,738"/>
    <s v="['sql', 'machine learning', 'tableau', 'python']"/>
    <x v="15"/>
    <n v="42738"/>
  </r>
  <r>
    <x v="0"/>
    <x v="0"/>
    <s v="Unknown"/>
    <s v="company_233"/>
    <x v="33"/>
    <s v="4 days ago"/>
    <x v="66"/>
    <x v="2"/>
    <s v="Public"/>
    <n v="27440"/>
    <s v="Public"/>
    <s v="â‚¬95,583 - â‚¬172,782"/>
    <s v="['machine learning', 'python']"/>
    <x v="16"/>
    <n v="134182.5"/>
  </r>
  <r>
    <x v="0"/>
    <x v="1"/>
    <s v="on-site"/>
    <s v="company_962"/>
    <x v="256"/>
    <s v="a month ago"/>
    <x v="4"/>
    <x v="2"/>
    <s v="Public"/>
    <n v="3305"/>
    <s v="Public"/>
    <s v="â‚¬138,011 - â‚¬166,416"/>
    <s v="['python']"/>
    <x v="2"/>
    <n v="152213.5"/>
  </r>
  <r>
    <x v="0"/>
    <x v="0"/>
    <s v="on-site"/>
    <s v="company_119"/>
    <x v="51"/>
    <s v="a month ago"/>
    <x v="42"/>
    <x v="3"/>
    <s v="Public"/>
    <n v="3790"/>
    <s v="â‚¬7.94B"/>
    <s v="â‚¬184,499 - â‚¬217,378"/>
    <s v="[]"/>
    <x v="2"/>
    <n v="200938.5"/>
  </r>
  <r>
    <x v="0"/>
    <x v="0"/>
    <s v="remote"/>
    <s v="company_038"/>
    <x v="291"/>
    <s v="7 days ago"/>
    <x v="15"/>
    <x v="2"/>
    <s v="Public"/>
    <n v="131970"/>
    <s v="â‚¬17.11B"/>
    <s v="â‚¬52,510"/>
    <s v="['spark', 'scikit-learn', 'python', 'scala', 'java', 'machine learning', 'keras', 'deep learning', 'tensorflow']"/>
    <x v="10"/>
    <n v="52510"/>
  </r>
  <r>
    <x v="0"/>
    <x v="0"/>
    <s v="remote"/>
    <s v="company_964"/>
    <x v="292"/>
    <s v="a day ago"/>
    <x v="186"/>
    <x v="2"/>
    <s v="Public"/>
    <n v="2870"/>
    <s v="Public"/>
    <s v="â‚¬123,307 - â‚¬168,973"/>
    <s v="['pandas', 'numpy', 'aws', 'git', 'python', 'docker', 'linux', 'sklearn', 'machine learning', 'kubernetes', 'deep learning', 'azure', 'matplotlib']"/>
    <x v="2"/>
    <n v="146140"/>
  </r>
  <r>
    <x v="0"/>
    <x v="0"/>
    <s v="Unknown"/>
    <s v="company_610"/>
    <x v="94"/>
    <s v="25 days ago"/>
    <x v="27"/>
    <x v="2"/>
    <s v="Private"/>
    <n v="51230"/>
    <s v="Private"/>
    <s v="â‚¬104,727"/>
    <s v="['java', 'machine learning', 'r', 'python']"/>
    <x v="11"/>
    <n v="104727"/>
  </r>
  <r>
    <x v="0"/>
    <x v="2"/>
    <s v="remote"/>
    <s v="company_965"/>
    <x v="8"/>
    <s v="13 days ago"/>
    <x v="121"/>
    <x v="2"/>
    <s v="Private"/>
    <n v="330"/>
    <s v="Private"/>
    <s v="â‚¬87,643"/>
    <s v="[]"/>
    <x v="9"/>
    <n v="87643"/>
  </r>
  <r>
    <x v="0"/>
    <x v="1"/>
    <s v="hybrid"/>
    <s v="company_645"/>
    <x v="76"/>
    <s v="9 days ago"/>
    <x v="6"/>
    <x v="2"/>
    <s v="Private"/>
    <n v="180"/>
    <s v="Private"/>
    <s v="â‚¬178,100 - â‚¬205,500"/>
    <s v="[]"/>
    <x v="5"/>
    <n v="191800"/>
  </r>
  <r>
    <x v="0"/>
    <x v="0"/>
    <s v="remote"/>
    <s v="company_966"/>
    <x v="293"/>
    <s v="14 days ago"/>
    <x v="9"/>
    <x v="3"/>
    <s v="Private"/>
    <n v="240"/>
    <s v="Private"/>
    <s v="â‚¬173,535"/>
    <s v="[]"/>
    <x v="8"/>
    <n v="173535"/>
  </r>
  <r>
    <x v="0"/>
    <x v="0"/>
    <s v="hybrid"/>
    <s v="company_967"/>
    <x v="294"/>
    <s v="15 days ago"/>
    <x v="31"/>
    <x v="2"/>
    <s v="Private"/>
    <n v="950"/>
    <s v="Private"/>
    <s v="â‚¬2,739,979"/>
    <s v="['spark', 'aws', 'r', 'python', 'sql', 'machine learning', 'gcp', 'hadoop', 'azure']"/>
    <x v="1"/>
    <n v="2739979"/>
  </r>
  <r>
    <x v="0"/>
    <x v="4"/>
    <s v="hybrid"/>
    <s v="company_202"/>
    <x v="49"/>
    <s v="2 days ago"/>
    <x v="59"/>
    <x v="2"/>
    <s v="Public"/>
    <n v="195020"/>
    <s v="â‚¬18.30B"/>
    <s v="â‚¬34,805"/>
    <s v="['numpy', 'spark', 'aws', 'python', 'neural network', 'database', 'machine learning', 'tensorflow']"/>
    <x v="13"/>
    <n v="34805"/>
  </r>
  <r>
    <x v="0"/>
    <x v="0"/>
    <s v="remote"/>
    <s v="company_969"/>
    <x v="295"/>
    <s v="8 days ago"/>
    <x v="187"/>
    <x v="5"/>
    <s v="Public"/>
    <n v="4570"/>
    <s v="Public"/>
    <s v="â‚¬155,272 - â‚¬182,672"/>
    <s v="[]"/>
    <x v="3"/>
    <n v="168972"/>
  </r>
  <r>
    <x v="0"/>
    <x v="3"/>
    <s v="Unknown"/>
    <s v="company_343"/>
    <x v="287"/>
    <s v="2 days ago"/>
    <x v="95"/>
    <x v="3"/>
    <s v="Public"/>
    <n v="60020"/>
    <s v="â‚¬24.63B"/>
    <s v="â‚¬59,680"/>
    <s v="['aws', 'machine learning', 'linux', 'python']"/>
    <x v="13"/>
    <n v="59680"/>
  </r>
  <r>
    <x v="0"/>
    <x v="0"/>
    <s v="remote"/>
    <s v="company_337"/>
    <x v="64"/>
    <s v="7 days ago"/>
    <x v="94"/>
    <x v="3"/>
    <s v="Public"/>
    <n v="7290"/>
    <s v="Public"/>
    <s v="â‚¬108,442 - â‚¬184,349"/>
    <s v="['r', 'python', 'sql', 'machine learning', 'database', 'azure']"/>
    <x v="10"/>
    <n v="146395.5"/>
  </r>
  <r>
    <x v="0"/>
    <x v="0"/>
    <s v="Unknown"/>
    <s v="company_212"/>
    <x v="82"/>
    <s v="22 days ago"/>
    <x v="8"/>
    <x v="2"/>
    <s v="Public"/>
    <n v="222490"/>
    <s v="Public"/>
    <s v="â‚¬135,178"/>
    <s v="['aws', 'python', 'machine learning', 'azure', 'deep learning']"/>
    <x v="20"/>
    <n v="135178"/>
  </r>
  <r>
    <x v="0"/>
    <x v="0"/>
    <s v="Unknown"/>
    <s v="company_318"/>
    <x v="30"/>
    <s v="2 months ago"/>
    <x v="90"/>
    <x v="2"/>
    <s v="Public"/>
    <n v="55030"/>
    <s v="â‚¬14.56B"/>
    <s v="â‚¬100,472"/>
    <s v="['sql', 'machine learning', 'r', 'python']"/>
    <x v="13"/>
    <n v="100472"/>
  </r>
  <r>
    <x v="0"/>
    <x v="4"/>
    <s v="remote"/>
    <s v="company_421"/>
    <x v="296"/>
    <s v="14 days ago"/>
    <x v="112"/>
    <x v="2"/>
    <s v="Unknown"/>
    <s v="Private"/>
    <s v="Not Mentioned"/>
    <s v="â‚¬25,211"/>
    <s v="['sql', 'machine learning', 'python']"/>
    <x v="8"/>
    <n v="25211"/>
  </r>
  <r>
    <x v="0"/>
    <x v="4"/>
    <s v="Unknown"/>
    <s v="company_971"/>
    <x v="99"/>
    <s v="7 days ago"/>
    <x v="75"/>
    <x v="2"/>
    <s v="Private"/>
    <n v="3682"/>
    <s v="Private"/>
    <s v="â‚¬83,973"/>
    <s v="['machine learning']"/>
    <x v="10"/>
    <n v="83973"/>
  </r>
  <r>
    <x v="1"/>
    <x v="2"/>
    <s v="on-site"/>
    <s v="company_403"/>
    <x v="297"/>
    <s v="6 days ago"/>
    <x v="8"/>
    <x v="0"/>
    <s v="Public"/>
    <n v="17030"/>
    <s v="Public"/>
    <s v="â‚¬160,750 - â‚¬170,797"/>
    <s v="[]"/>
    <x v="6"/>
    <n v="165773.5"/>
  </r>
  <r>
    <x v="0"/>
    <x v="0"/>
    <s v="remote"/>
    <s v="company_067"/>
    <x v="53"/>
    <s v="21 days ago"/>
    <x v="9"/>
    <x v="2"/>
    <s v="Public"/>
    <n v="5260"/>
    <s v="â‚¬14.30B"/>
    <s v="â‚¬306,626"/>
    <s v="[]"/>
    <x v="18"/>
    <n v="306626"/>
  </r>
  <r>
    <x v="0"/>
    <x v="0"/>
    <s v="remote"/>
    <s v="company_974"/>
    <x v="19"/>
    <s v="4 days ago"/>
    <x v="17"/>
    <x v="2"/>
    <s v="Public"/>
    <n v="2280"/>
    <s v="Public"/>
    <s v="â‚¬45,064 - â‚¬105,142"/>
    <s v="['sql', 'machine learning', 'python']"/>
    <x v="16"/>
    <n v="75103"/>
  </r>
  <r>
    <x v="0"/>
    <x v="0"/>
    <s v="hybrid"/>
    <s v="company_975"/>
    <x v="298"/>
    <s v="12 days ago"/>
    <x v="188"/>
    <x v="2"/>
    <s v="Private"/>
    <n v="15"/>
    <s v="Private"/>
    <s v="â‚¬173,539 - â‚¬210,072"/>
    <s v="[]"/>
    <x v="14"/>
    <n v="191805.5"/>
  </r>
  <r>
    <x v="0"/>
    <x v="0"/>
    <s v="Unknown"/>
    <s v="company_895"/>
    <x v="195"/>
    <s v="2 months ago"/>
    <x v="173"/>
    <x v="2"/>
    <s v="Public"/>
    <n v="16060"/>
    <s v="Public"/>
    <s v="â‚¬79,192 - â‚¬138,558"/>
    <s v="['pandas', 'numpy', 'pytorch', 'spark', 'aws', 'amazon', 'r', 'python', 'scikit-learn', 'scipy', 'linux', 'java', 'machine learning', 'keras', 'deep learning', 'matplotlib', 'tensorflow']"/>
    <x v="13"/>
    <n v="108875"/>
  </r>
  <r>
    <x v="0"/>
    <x v="0"/>
    <s v="on-site"/>
    <s v="company_979"/>
    <x v="14"/>
    <s v="2 months ago"/>
    <x v="189"/>
    <x v="2"/>
    <s v="Public"/>
    <n v="125010"/>
    <s v="Public"/>
    <s v="â‚¬23,903"/>
    <s v="['spark', 'aws', 'r', 'python', 'sql', 'machine learning', 'database', 'hadoop', 'azure']"/>
    <x v="13"/>
    <n v="23903"/>
  </r>
  <r>
    <x v="1"/>
    <x v="2"/>
    <s v="on-site"/>
    <s v="company_156"/>
    <x v="63"/>
    <s v="16 days ago"/>
    <x v="46"/>
    <x v="2"/>
    <s v="Private"/>
    <n v="900"/>
    <s v="â‚¬8.10B"/>
    <s v="â‚¬126,250 - â‚¬189,589"/>
    <s v="[]"/>
    <x v="21"/>
    <n v="157919.5"/>
  </r>
  <r>
    <x v="0"/>
    <x v="0"/>
    <s v="hybrid"/>
    <s v="company_003"/>
    <x v="299"/>
    <s v="18 days ago"/>
    <x v="0"/>
    <x v="0"/>
    <s v="Public"/>
    <s v="â‚¬352.44B"/>
    <s v="Public"/>
    <s v="â‚¬82,200 - â‚¬164,400"/>
    <s v="['spark', 'r', 'python', 'scala', 'machine learning', 'tensorflow']"/>
    <x v="23"/>
    <n v="123300"/>
  </r>
  <r>
    <x v="0"/>
    <x v="1"/>
    <s v="Unknown"/>
    <s v="company_980"/>
    <x v="14"/>
    <s v="a month ago"/>
    <x v="110"/>
    <x v="0"/>
    <s v="Public"/>
    <n v="409060"/>
    <s v="â‚¬66.94B"/>
    <s v="â‚¬31,966 - â‚¬58,197"/>
    <s v="['spark', 'r', 'python', 'scala', 'java', 'sql', 'hadoop', 'machine learning']"/>
    <x v="2"/>
    <n v="45081.5"/>
  </r>
  <r>
    <x v="0"/>
    <x v="4"/>
    <s v="hybrid"/>
    <s v="company_983"/>
    <x v="300"/>
    <s v="17 days ago"/>
    <x v="107"/>
    <x v="2"/>
    <s v="Public"/>
    <n v="27060"/>
    <s v="Public"/>
    <s v="â‚¬70,878 - â‚¬160,749"/>
    <s v="['linux', 'machine learning', 'r', 'python']"/>
    <x v="0"/>
    <n v="115813.5"/>
  </r>
  <r>
    <x v="0"/>
    <x v="0"/>
    <s v="hybrid"/>
    <s v="company_357"/>
    <x v="301"/>
    <s v="14 days ago"/>
    <x v="99"/>
    <x v="2"/>
    <s v="Public"/>
    <n v="132070"/>
    <s v="â‚¬142.28B"/>
    <s v="â‚¬22,839"/>
    <s v="['aws', 'r', 'python', 'sql', 'gcp', 'machine learning', 'tableau']"/>
    <x v="8"/>
    <n v="22839"/>
  </r>
  <r>
    <x v="0"/>
    <x v="3"/>
    <s v="Unknown"/>
    <s v="company_014"/>
    <x v="6"/>
    <s v="2 months ago"/>
    <x v="6"/>
    <x v="4"/>
    <s v="Unknown"/>
    <n v="17441"/>
    <s v="Education"/>
    <s v="â‚¬99,741 - â‚¬189,795"/>
    <s v="['machine learning']"/>
    <x v="13"/>
    <n v="144768"/>
  </r>
  <r>
    <x v="0"/>
    <x v="4"/>
    <s v="remote"/>
    <s v="company_421"/>
    <x v="302"/>
    <s v="14 days ago"/>
    <x v="112"/>
    <x v="2"/>
    <s v="Unknown"/>
    <s v="Private"/>
    <s v="Not Mentioned"/>
    <s v="â‚¬25,216"/>
    <s v="['sql', 'machine learning', 'python']"/>
    <x v="8"/>
    <n v="25216"/>
  </r>
  <r>
    <x v="0"/>
    <x v="3"/>
    <s v="Unknown"/>
    <s v="company_985"/>
    <x v="145"/>
    <s v="5 days ago"/>
    <x v="27"/>
    <x v="3"/>
    <s v="Private"/>
    <n v="312040"/>
    <s v="Private"/>
    <s v="â‚¬28,045"/>
    <s v="['python', 'docker', 'kubernetes', 'machine learning', 'azure', 'deep learning']"/>
    <x v="15"/>
    <n v="28045"/>
  </r>
  <r>
    <x v="0"/>
    <x v="0"/>
    <s v="remote"/>
    <s v="company_647"/>
    <x v="303"/>
    <s v="20 days ago"/>
    <x v="69"/>
    <x v="2"/>
    <s v="Private"/>
    <n v="900"/>
    <s v="Private"/>
    <s v="â‚¬39,023"/>
    <s v="[]"/>
    <x v="12"/>
    <n v="39023"/>
  </r>
  <r>
    <x v="0"/>
    <x v="0"/>
    <s v="on-site"/>
    <s v="company_316"/>
    <x v="289"/>
    <s v="8 days ago"/>
    <x v="88"/>
    <x v="5"/>
    <s v="Public"/>
    <n v="37950"/>
    <s v="Public"/>
    <s v="â‚¬29,801 - â‚¬32,905"/>
    <s v="['python', 'machine learning', 'gcp', 'azure', 'deep learning', 'tensorflow']"/>
    <x v="3"/>
    <n v="31353"/>
  </r>
  <r>
    <x v="0"/>
    <x v="1"/>
    <s v="on-site"/>
    <s v="company_844"/>
    <x v="33"/>
    <s v="3 days ago"/>
    <x v="46"/>
    <x v="2"/>
    <s v="Public"/>
    <n v="17070"/>
    <s v="â‚¬94.69B"/>
    <s v="â‚¬145,221"/>
    <s v="['r', 'python', 'sql', 'machine learning', 'tableau']"/>
    <x v="4"/>
    <n v="145221"/>
  </r>
  <r>
    <x v="0"/>
    <x v="1"/>
    <s v="remote"/>
    <s v="company_338"/>
    <x v="31"/>
    <s v="7 days ago"/>
    <x v="71"/>
    <x v="5"/>
    <s v="Public"/>
    <n v="75470"/>
    <s v="â‚¬99.86B"/>
    <s v="â‚¬149,787"/>
    <s v="['pytorch', 'r', 'python', 'machine learning', 'tensorflow']"/>
    <x v="10"/>
    <n v="149787"/>
  </r>
  <r>
    <x v="0"/>
    <x v="0"/>
    <s v="on-site"/>
    <s v="company_816"/>
    <x v="20"/>
    <s v="2 months ago"/>
    <x v="9"/>
    <x v="0"/>
    <s v="Public"/>
    <n v="117010"/>
    <s v="Public"/>
    <s v="â‚¬159,293 - â‚¬211,170"/>
    <s v="['spark', 'sql', 'azure', 'python']"/>
    <x v="13"/>
    <n v="185231.5"/>
  </r>
  <r>
    <x v="0"/>
    <x v="0"/>
    <s v="on-site"/>
    <s v="company_096"/>
    <x v="268"/>
    <s v="23 days ago"/>
    <x v="9"/>
    <x v="3"/>
    <s v="Private"/>
    <n v="950"/>
    <s v="â‚¬11.68B"/>
    <s v="â‚¬175,364 - â‚¬219,204"/>
    <s v="[]"/>
    <x v="22"/>
    <n v="197284"/>
  </r>
  <r>
    <x v="0"/>
    <x v="0"/>
    <s v="on-site"/>
    <s v="company_917"/>
    <x v="304"/>
    <s v="4 days ago"/>
    <x v="46"/>
    <x v="2"/>
    <s v="Public"/>
    <n v="258760"/>
    <s v="â‚¬1.14T"/>
    <s v="â‚¬151,616 - â‚¬222,855"/>
    <s v="['sql', 'r', 'python']"/>
    <x v="16"/>
    <n v="187235.5"/>
  </r>
  <r>
    <x v="0"/>
    <x v="0"/>
    <s v="on-site"/>
    <s v="company_003"/>
    <x v="130"/>
    <s v="16 days ago"/>
    <x v="0"/>
    <x v="0"/>
    <s v="Public"/>
    <s v="â‚¬352.44B"/>
    <s v="Public"/>
    <s v="â‚¬142,483 - â‚¬284,961"/>
    <s v="['pytorch', 'spark', 'r', 'python', 'scala', 'machine learning', 'azure', 'tensorflow']"/>
    <x v="21"/>
    <n v="213722"/>
  </r>
  <r>
    <x v="0"/>
    <x v="0"/>
    <s v="on-site"/>
    <s v="company_849"/>
    <x v="305"/>
    <s v="3 months ago"/>
    <x v="190"/>
    <x v="3"/>
    <s v="Public"/>
    <n v="29400"/>
    <s v="Public"/>
    <s v="â‚¬96,818 - â‚¬165,318"/>
    <s v="['database', 'sql', 'machine learning', 'python']"/>
    <x v="4"/>
    <n v="131068"/>
  </r>
  <r>
    <x v="0"/>
    <x v="4"/>
    <s v="Unknown"/>
    <s v="company_055"/>
    <x v="306"/>
    <s v="19 days ago"/>
    <x v="191"/>
    <x v="2"/>
    <s v="Public"/>
    <n v="97300"/>
    <s v="â‚¬55.34B"/>
    <s v="â‚¬37,995 - â‚¬64,591"/>
    <s v="[]"/>
    <x v="7"/>
    <n v="51293"/>
  </r>
  <r>
    <x v="1"/>
    <x v="2"/>
    <s v="hybrid"/>
    <s v="company_403"/>
    <x v="140"/>
    <s v="22 days ago"/>
    <x v="8"/>
    <x v="0"/>
    <s v="Public"/>
    <n v="17020"/>
    <s v="Public"/>
    <s v="â‚¬160,748 - â‚¬170,795"/>
    <s v="[]"/>
    <x v="20"/>
    <n v="165771.5"/>
  </r>
  <r>
    <x v="0"/>
    <x v="1"/>
    <s v="Unknown"/>
    <s v="company_366"/>
    <x v="106"/>
    <s v="7 days ago"/>
    <x v="101"/>
    <x v="2"/>
    <s v="Private"/>
    <n v="180"/>
    <s v="Private"/>
    <s v="â‚¬19,780"/>
    <s v="['aws', 'r', 'python', 'sql', 'machine learning', 'azure', 'tableau']"/>
    <x v="10"/>
    <n v="19780"/>
  </r>
  <r>
    <x v="1"/>
    <x v="0"/>
    <s v="Unknown"/>
    <s v="company_941"/>
    <x v="14"/>
    <s v="14 days ago"/>
    <x v="182"/>
    <x v="2"/>
    <s v="Public"/>
    <n v="492235"/>
    <s v="â‚¬153.05B"/>
    <s v="â‚¬10,524 - â‚¬26,185"/>
    <s v="['sql', 'python']"/>
    <x v="8"/>
    <n v="18354.5"/>
  </r>
  <r>
    <x v="0"/>
    <x v="2"/>
    <s v="hybrid"/>
    <s v="company_081"/>
    <x v="269"/>
    <s v="7 days ago"/>
    <x v="9"/>
    <x v="2"/>
    <s v="Public"/>
    <n v="5010"/>
    <s v="â‚¬4.67B"/>
    <s v="â‚¬98,640 - â‚¬123,300"/>
    <s v="[]"/>
    <x v="10"/>
    <n v="110970"/>
  </r>
  <r>
    <x v="0"/>
    <x v="0"/>
    <s v="Unknown"/>
    <s v="company_844"/>
    <x v="307"/>
    <s v="8 days ago"/>
    <x v="46"/>
    <x v="2"/>
    <s v="Public"/>
    <n v="17020"/>
    <s v="â‚¬94.39B"/>
    <s v="â‚¬168,969"/>
    <s v="['spark', 'r', 'python', 'sql', 'tableau']"/>
    <x v="3"/>
    <n v="168969"/>
  </r>
  <r>
    <x v="0"/>
    <x v="0"/>
    <s v="on-site"/>
    <s v="company_917"/>
    <x v="113"/>
    <s v="5 days ago"/>
    <x v="46"/>
    <x v="2"/>
    <s v="Public"/>
    <n v="258800"/>
    <s v="â‚¬1.29T"/>
    <s v="â‚¬128,780 - â‚¬184,493"/>
    <s v="['sql', 'r', 'python']"/>
    <x v="15"/>
    <n v="156636.5"/>
  </r>
  <r>
    <x v="0"/>
    <x v="1"/>
    <s v="hybrid"/>
    <s v="company_667"/>
    <x v="251"/>
    <s v="9 days ago"/>
    <x v="46"/>
    <x v="2"/>
    <s v="Private"/>
    <n v="2760"/>
    <s v="Private"/>
    <s v="â‚¬251,171"/>
    <s v="[]"/>
    <x v="5"/>
    <n v="251171"/>
  </r>
  <r>
    <x v="0"/>
    <x v="0"/>
    <s v="remote"/>
    <s v="company_421"/>
    <x v="308"/>
    <s v="5 days ago"/>
    <x v="112"/>
    <x v="2"/>
    <s v="Unknown"/>
    <s v="Private"/>
    <s v="Not Mentioned"/>
    <s v="â‚¬7,679"/>
    <s v="['pandas', 'numpy', 'python', 'sklearn', 'machine learning', 'matplotlib']"/>
    <x v="15"/>
    <n v="7679"/>
  </r>
  <r>
    <x v="0"/>
    <x v="0"/>
    <s v="remote"/>
    <s v="company_848"/>
    <x v="309"/>
    <s v="14 days ago"/>
    <x v="165"/>
    <x v="5"/>
    <s v="Public"/>
    <n v="107690"/>
    <s v="â‚¬160.95B"/>
    <s v="â‚¬104,122 - â‚¬192,715"/>
    <s v="['gcp', 'database']"/>
    <x v="8"/>
    <n v="148418.5"/>
  </r>
  <r>
    <x v="0"/>
    <x v="0"/>
    <s v="Unknown"/>
    <s v="company_844"/>
    <x v="113"/>
    <s v="a month ago"/>
    <x v="46"/>
    <x v="2"/>
    <s v="Public"/>
    <n v="17020"/>
    <s v="â‚¬94.64B"/>
    <s v="â‚¬173,539"/>
    <s v="['sql', 'machine learning', 'r', 'python']"/>
    <x v="2"/>
    <n v="173539"/>
  </r>
  <r>
    <x v="0"/>
    <x v="1"/>
    <s v="on-site"/>
    <s v="company_235"/>
    <x v="195"/>
    <s v="8 days ago"/>
    <x v="67"/>
    <x v="3"/>
    <s v="Private"/>
    <n v="33020"/>
    <s v="Private"/>
    <s v="â‚¬150,503 - â‚¬287,666"/>
    <s v="['r', 'python', 'sql', 'database', 'machine learning']"/>
    <x v="3"/>
    <n v="219084.5"/>
  </r>
  <r>
    <x v="0"/>
    <x v="0"/>
    <s v="Unknown"/>
    <s v="company_270"/>
    <x v="310"/>
    <s v="2 months ago"/>
    <x v="76"/>
    <x v="5"/>
    <s v="Public"/>
    <n v="300060"/>
    <s v="â‚¬121.22B"/>
    <s v="â‚¬131,709 - â‚¬263,411"/>
    <s v="['aws', 'python', 'sql', 'machine learning', 'gcp', 'azure']"/>
    <x v="13"/>
    <n v="197560"/>
  </r>
  <r>
    <x v="0"/>
    <x v="0"/>
    <s v="Unknown"/>
    <s v="company_233"/>
    <x v="131"/>
    <s v="2 months ago"/>
    <x v="66"/>
    <x v="2"/>
    <s v="Public"/>
    <n v="27450"/>
    <s v="Public"/>
    <s v="â‚¬115,177 - â‚¬208,199"/>
    <s v="['pandas', 'numpy', 'r', 'python', 'sql', 'tableau']"/>
    <x v="13"/>
    <n v="161688"/>
  </r>
  <r>
    <x v="0"/>
    <x v="1"/>
    <s v="Unknown"/>
    <s v="company_872"/>
    <x v="311"/>
    <s v="a month ago"/>
    <x v="29"/>
    <x v="3"/>
    <s v="Public"/>
    <n v="11060"/>
    <s v="â‚¬18.58B"/>
    <s v="â‚¬100,474"/>
    <s v="['pandas', 'numpy', 'pytorch', 'spark', 'r', 'python', 'scikit-learn', 'machine learning', 'deep learning', 'tensorflow']"/>
    <x v="2"/>
    <n v="100474"/>
  </r>
  <r>
    <x v="0"/>
    <x v="0"/>
    <s v="hybrid"/>
    <s v="company_115"/>
    <x v="49"/>
    <s v="7 days ago"/>
    <x v="40"/>
    <x v="3"/>
    <s v="Public"/>
    <n v="68420"/>
    <s v="Public"/>
    <s v="â‚¬24,200"/>
    <s v="['pytorch', 'aws', 'python', 'sql', 'gcp', 'azure', 'tensorflow']"/>
    <x v="10"/>
    <n v="24200"/>
  </r>
  <r>
    <x v="0"/>
    <x v="0"/>
    <s v="hybrid"/>
    <s v="company_316"/>
    <x v="312"/>
    <s v="14 days ago"/>
    <x v="88"/>
    <x v="5"/>
    <s v="Public"/>
    <n v="37950"/>
    <s v="Public"/>
    <s v="â‚¬67,973 - â‚¬93,598"/>
    <s v="['git', 'r', 'python', 'hadoop', 'deep learning', 'keras', 'azure', 'tensorflow']"/>
    <x v="8"/>
    <n v="80785.5"/>
  </r>
  <r>
    <x v="0"/>
    <x v="0"/>
    <s v="on-site"/>
    <s v="company_917"/>
    <x v="113"/>
    <s v="a month ago"/>
    <x v="46"/>
    <x v="2"/>
    <s v="Public"/>
    <n v="258810"/>
    <s v="â‚¬1.44T"/>
    <s v="â‚¬207,333 - â‚¬292,272"/>
    <s v="['sql', 'r', 'python']"/>
    <x v="2"/>
    <n v="249802.5"/>
  </r>
  <r>
    <x v="0"/>
    <x v="0"/>
    <s v="remote"/>
    <s v="company_967"/>
    <x v="313"/>
    <s v="7 days ago"/>
    <x v="31"/>
    <x v="2"/>
    <s v="Private"/>
    <n v="950"/>
    <s v="Private"/>
    <s v="â‚¬24,358"/>
    <s v="['scikit-learn', 'python', 'airflow', 'sql', 'machine learning']"/>
    <x v="10"/>
    <n v="24358"/>
  </r>
  <r>
    <x v="0"/>
    <x v="0"/>
    <s v="Unknown"/>
    <s v="company_678"/>
    <x v="314"/>
    <s v="8 days ago"/>
    <x v="143"/>
    <x v="2"/>
    <s v="Private"/>
    <n v="5010"/>
    <s v="Private"/>
    <s v="â‚¬133,347 - â‚¬213,720"/>
    <s v="['tableau']"/>
    <x v="3"/>
    <n v="173533.5"/>
  </r>
  <r>
    <x v="0"/>
    <x v="0"/>
    <s v="Unknown"/>
    <s v="company_366"/>
    <x v="106"/>
    <s v="a month ago"/>
    <x v="101"/>
    <x v="2"/>
    <s v="Private"/>
    <n v="180"/>
    <s v="Private"/>
    <s v="â‚¬19,777"/>
    <s v="['pytorch', 'aws', 'python', 'docker', 'gcp', 'kubernetes', 'azure', 'tensorflow']"/>
    <x v="2"/>
    <n v="19777"/>
  </r>
  <r>
    <x v="1"/>
    <x v="0"/>
    <s v="on-site"/>
    <s v="company_156"/>
    <x v="63"/>
    <s v="7 days ago"/>
    <x v="46"/>
    <x v="2"/>
    <s v="Private"/>
    <n v="900"/>
    <s v="â‚¬8.20B"/>
    <s v="â‚¬203,472 - â‚¬304,988"/>
    <s v="[]"/>
    <x v="10"/>
    <n v="254230"/>
  </r>
  <r>
    <x v="0"/>
    <x v="0"/>
    <s v="hybrid"/>
    <s v="company_308"/>
    <x v="315"/>
    <s v="2 days ago"/>
    <x v="84"/>
    <x v="2"/>
    <s v="Public"/>
    <n v="182328"/>
    <s v="â‚¬1.98T"/>
    <s v="â‚¬136,788"/>
    <s v="['sql', 'azure', 'machine learning', 'python']"/>
    <x v="13"/>
    <n v="136788"/>
  </r>
  <r>
    <x v="0"/>
    <x v="0"/>
    <s v="hybrid"/>
    <s v="company_980"/>
    <x v="316"/>
    <s v="7 days ago"/>
    <x v="110"/>
    <x v="0"/>
    <s v="Public"/>
    <n v="409050"/>
    <s v="â‚¬67.04B"/>
    <s v="â‚¬86,770 - â‚¬156,183"/>
    <s v="['spark', 'r', 'python', 'scala', 'java', 'sql', 'hadoop', 'machine learning']"/>
    <x v="10"/>
    <n v="121476.5"/>
  </r>
  <r>
    <x v="0"/>
    <x v="0"/>
    <s v="hybrid"/>
    <s v="company_291"/>
    <x v="317"/>
    <s v="7 days ago"/>
    <x v="19"/>
    <x v="2"/>
    <s v="Public"/>
    <n v="261040"/>
    <s v="â‚¬71.18B"/>
    <s v="â‚¬85,855 - â‚¬150,244"/>
    <s v="['pytorch', 'spark', 'aws', 'r', 'python', 'scala', 'java', 'sql', 'machine learning', 'gcp', 'deep learning', 'azure', 'tensorflow', 'tableau']"/>
    <x v="10"/>
    <n v="118049.5"/>
  </r>
  <r>
    <x v="0"/>
    <x v="0"/>
    <s v="Unknown"/>
    <s v="company_171"/>
    <x v="14"/>
    <s v="7 days ago"/>
    <x v="52"/>
    <x v="2"/>
    <s v="Public"/>
    <n v="524568"/>
    <s v="â‚¬119.18B"/>
    <s v="â‚¬33,043 - â‚¬52,693"/>
    <s v="['pandas', 'pytorch', 'r', 'python', 'java', 'database', 'keras', 'machine learning', 'matplotlib', 'tensorflow']"/>
    <x v="10"/>
    <n v="42868"/>
  </r>
  <r>
    <x v="1"/>
    <x v="0"/>
    <s v="Unknown"/>
    <s v="company_678"/>
    <x v="318"/>
    <s v="21 days ago"/>
    <x v="143"/>
    <x v="2"/>
    <s v="Private"/>
    <n v="5060"/>
    <s v="Private"/>
    <s v="â‚¬73,068 - â‚¬116,908"/>
    <s v="['pytorch', 'python', 'java', 'keras', 'machine learning', 'tensorflow']"/>
    <x v="18"/>
    <n v="94988"/>
  </r>
  <r>
    <x v="0"/>
    <x v="0"/>
    <s v="on-site"/>
    <s v="company_395"/>
    <x v="5"/>
    <s v="18 days ago"/>
    <x v="107"/>
    <x v="0"/>
    <s v="Public"/>
    <n v="55100"/>
    <s v="â‚¬36.38B"/>
    <s v="â‚¬158,013 - â‚¬180,298"/>
    <s v="['pytorch', 'aws', 'database', 'machine learning', 'tensorflow']"/>
    <x v="23"/>
    <n v="169155.5"/>
  </r>
  <r>
    <x v="0"/>
    <x v="0"/>
    <s v="hybrid"/>
    <s v="company_667"/>
    <x v="319"/>
    <s v="9 days ago"/>
    <x v="46"/>
    <x v="2"/>
    <s v="Private"/>
    <n v="2810"/>
    <s v="Private"/>
    <s v="â‚¬236,556"/>
    <s v="[]"/>
    <x v="5"/>
    <n v="236556"/>
  </r>
  <r>
    <x v="0"/>
    <x v="0"/>
    <s v="Unknown"/>
    <s v="company_183"/>
    <x v="320"/>
    <s v="7 days ago"/>
    <x v="57"/>
    <x v="2"/>
    <s v="Private"/>
    <n v="3760"/>
    <s v="Private"/>
    <s v="â‚¬61,775"/>
    <s v="['pandas', 'numpy', 'spark', 'aws', 'scikit-learn', 'python', 'airflow', 'machine learning']"/>
    <x v="10"/>
    <n v="61775"/>
  </r>
  <r>
    <x v="0"/>
    <x v="0"/>
    <s v="Unknown"/>
    <s v="company_980"/>
    <x v="14"/>
    <s v="a month ago"/>
    <x v="110"/>
    <x v="0"/>
    <s v="Public"/>
    <n v="409040"/>
    <s v="â‚¬67.09B"/>
    <s v="â‚¬31,971 - â‚¬58,202"/>
    <s v="['pytorch', 'python', 'docker', 'sql', 'machine learning', 'kubernetes', 'hadoop', 'deep learning', 'tensorflow']"/>
    <x v="2"/>
    <n v="45086.5"/>
  </r>
  <r>
    <x v="0"/>
    <x v="0"/>
    <s v="on-site"/>
    <s v="company_288"/>
    <x v="155"/>
    <s v="7 days ago"/>
    <x v="66"/>
    <x v="2"/>
    <s v="Public"/>
    <n v="26010"/>
    <s v="â‚¬62.74B"/>
    <s v="â‚¬109,604 - â‚¬146,136"/>
    <s v="['machine learning']"/>
    <x v="10"/>
    <n v="127870"/>
  </r>
  <r>
    <x v="0"/>
    <x v="0"/>
    <s v="hybrid"/>
    <s v="company_983"/>
    <x v="321"/>
    <s v="20 days ago"/>
    <x v="107"/>
    <x v="2"/>
    <s v="Public"/>
    <n v="27010"/>
    <s v="Public"/>
    <s v="â‚¬90,421 - â‚¬205,500"/>
    <s v="['spark', 'r', 'python', 'sql', 'hadoop', 'machine learning']"/>
    <x v="12"/>
    <n v="147960.5"/>
  </r>
  <r>
    <x v="0"/>
    <x v="0"/>
    <s v="hybrid"/>
    <s v="company_067"/>
    <x v="322"/>
    <s v="19 hours ago"/>
    <x v="9"/>
    <x v="2"/>
    <s v="Public"/>
    <n v="5300"/>
    <s v="â‚¬14.25B"/>
    <s v="â‚¬306,623"/>
    <s v="[]"/>
    <x v="7"/>
    <n v="306623"/>
  </r>
  <r>
    <x v="0"/>
    <x v="1"/>
    <s v="on-site"/>
    <s v="company_395"/>
    <x v="5"/>
    <s v="16 days ago"/>
    <x v="107"/>
    <x v="0"/>
    <s v="Public"/>
    <n v="55110"/>
    <s v="â‚¬36.03B"/>
    <s v="â‚¬262,862 - â‚¬300,034"/>
    <s v="['aws', 'r', 'python', 'scala', 'machine learning', 'database', 'deep learning']"/>
    <x v="21"/>
    <n v="281448"/>
  </r>
  <r>
    <x v="0"/>
    <x v="0"/>
    <s v="on-site"/>
    <s v="company_395"/>
    <x v="323"/>
    <s v="6 days ago"/>
    <x v="107"/>
    <x v="0"/>
    <s v="Public"/>
    <n v="55130"/>
    <s v="â‚¬36.03B"/>
    <s v="â‚¬132,526 - â‚¬151,250"/>
    <s v="['pytorch', 'aws', 'r', 'python', 'scala', 'sql', 'database', 'machine learning']"/>
    <x v="6"/>
    <n v="141888"/>
  </r>
  <r>
    <x v="0"/>
    <x v="0"/>
    <s v="hybrid"/>
    <s v="company_291"/>
    <x v="317"/>
    <s v="7 days ago"/>
    <x v="19"/>
    <x v="2"/>
    <s v="Public"/>
    <n v="261010"/>
    <s v="â‚¬71.03B"/>
    <s v="â‚¬85,862 - â‚¬150,251"/>
    <s v="['pytorch', 'spark', 'aws', 'r', 'python', 'scala', 'java', 'sql', 'machine learning', 'gcp', 'deep learning', 'azure', 'tensorflow', 'tableau']"/>
    <x v="10"/>
    <n v="118056.5"/>
  </r>
  <r>
    <x v="0"/>
    <x v="0"/>
    <s v="on-site"/>
    <s v="company_003"/>
    <x v="324"/>
    <s v="21 days ago"/>
    <x v="0"/>
    <x v="0"/>
    <s v="Public"/>
    <s v="â‚¬352.44B"/>
    <s v="Public"/>
    <s v="â‚¬106,860 - â‚¬213,719"/>
    <s v="['pytorch', 'spark', 'r', 'python', 'scala', 'machine learning', 'tensorflow']"/>
    <x v="18"/>
    <n v="160289.5"/>
  </r>
  <r>
    <x v="0"/>
    <x v="0"/>
    <s v="Unknown"/>
    <s v="company_291"/>
    <x v="263"/>
    <s v="6 days ago"/>
    <x v="19"/>
    <x v="2"/>
    <s v="Public"/>
    <n v="261040"/>
    <s v="â‚¬71.13B"/>
    <s v="â‚¬9,582"/>
    <s v="['aws', 'r', 'python', 'sql', 'neural network', 'gcp', 'azure']"/>
    <x v="6"/>
    <n v="9582"/>
  </r>
  <r>
    <x v="0"/>
    <x v="0"/>
    <s v="hybrid"/>
    <s v="company_922"/>
    <x v="325"/>
    <s v="7 days ago"/>
    <x v="177"/>
    <x v="3"/>
    <s v="Public"/>
    <n v="18190"/>
    <s v="â‚¬21.60B"/>
    <s v="â‚¬100,028 - â‚¬150,042"/>
    <s v="['machine learning']"/>
    <x v="10"/>
    <n v="125035"/>
  </r>
  <r>
    <x v="0"/>
    <x v="2"/>
    <s v="hybrid"/>
    <s v="company_081"/>
    <x v="269"/>
    <s v="7 days ago"/>
    <x v="9"/>
    <x v="2"/>
    <s v="Public"/>
    <n v="5040"/>
    <s v="â‚¬4.72B"/>
    <s v="â‚¬98,648 - â‚¬123,308"/>
    <s v="[]"/>
    <x v="10"/>
    <n v="110978"/>
  </r>
  <r>
    <x v="0"/>
    <x v="0"/>
    <s v="on-site"/>
    <s v="company_185"/>
    <x v="254"/>
    <s v="14 days ago"/>
    <x v="47"/>
    <x v="2"/>
    <s v="Public"/>
    <n v="97050"/>
    <s v="â‚¬75.00B"/>
    <s v="â‚¬164,039 - â‚¬246,056"/>
    <s v="['r']"/>
    <x v="8"/>
    <n v="205047.5"/>
  </r>
  <r>
    <x v="0"/>
    <x v="1"/>
    <s v="on-site"/>
    <s v="company_230"/>
    <x v="326"/>
    <s v="a month ago"/>
    <x v="64"/>
    <x v="5"/>
    <s v="Public"/>
    <n v="49360"/>
    <s v="â‚¬245.34B"/>
    <s v="â‚¬137,007"/>
    <s v="[]"/>
    <x v="2"/>
    <n v="137007"/>
  </r>
  <r>
    <x v="0"/>
    <x v="4"/>
    <s v="remote"/>
    <s v="company_421"/>
    <x v="327"/>
    <s v="14 days ago"/>
    <x v="112"/>
    <x v="2"/>
    <s v="Unknown"/>
    <s v="Private"/>
    <s v="Not Mentioned"/>
    <s v="â‚¬25,214"/>
    <s v="['sql', 'machine learning', 'python']"/>
    <x v="8"/>
    <n v="25214"/>
  </r>
  <r>
    <x v="0"/>
    <x v="0"/>
    <s v="on-site"/>
    <s v="company_490"/>
    <x v="328"/>
    <s v="3 months ago"/>
    <x v="121"/>
    <x v="2"/>
    <s v="Public"/>
    <n v="83560"/>
    <s v="Public"/>
    <s v="â‚¬116,363 - â‚¬209,887"/>
    <s v="['aws', 'r', 'python', 'sql', 'machine learning', 'deep learning', 'azure']"/>
    <x v="4"/>
    <n v="163125"/>
  </r>
  <r>
    <x v="0"/>
    <x v="0"/>
    <s v="Unknown"/>
    <s v="company_844"/>
    <x v="20"/>
    <s v="21 days ago"/>
    <x v="46"/>
    <x v="2"/>
    <s v="Public"/>
    <n v="17070"/>
    <s v="â‚¬94.49B"/>
    <s v="â‚¬168,968"/>
    <s v="['r', 'python', 'sql', 'machine learning', 'tableau']"/>
    <x v="18"/>
    <n v="168968"/>
  </r>
  <r>
    <x v="0"/>
    <x v="0"/>
    <s v="Unknown"/>
    <s v="company_171"/>
    <x v="106"/>
    <s v="14 days ago"/>
    <x v="52"/>
    <x v="2"/>
    <s v="Public"/>
    <n v="524608"/>
    <s v="â‚¬119.33B"/>
    <s v="â‚¬27,279 - â‚¬52,700"/>
    <s v="['database', 'machine learning', 'java']"/>
    <x v="8"/>
    <n v="39989.5"/>
  </r>
  <r>
    <x v="0"/>
    <x v="0"/>
    <s v="hybrid"/>
    <s v="company_183"/>
    <x v="73"/>
    <s v="a month ago"/>
    <x v="57"/>
    <x v="2"/>
    <s v="Private"/>
    <n v="3760"/>
    <s v="Private"/>
    <s v="â‚¬61,778"/>
    <s v="['pandas', 'numpy', 'pytorch', 'spark', 'aws', 'scikit-learn', 'python', 'docker', 'airflow', 'machine learning', 'deep learning']"/>
    <x v="2"/>
    <n v="61778"/>
  </r>
  <r>
    <x v="0"/>
    <x v="0"/>
    <s v="Unknown"/>
    <s v="company_844"/>
    <x v="113"/>
    <s v="7 days ago"/>
    <x v="46"/>
    <x v="2"/>
    <s v="Public"/>
    <n v="17050"/>
    <s v="â‚¬94.54B"/>
    <s v="â‚¬168,967"/>
    <s v="['sql', 'machine learning', 'tableau', 'python']"/>
    <x v="10"/>
    <n v="168967"/>
  </r>
  <r>
    <x v="1"/>
    <x v="0"/>
    <s v="on-site"/>
    <s v="company_135"/>
    <x v="56"/>
    <s v="a month ago"/>
    <x v="43"/>
    <x v="2"/>
    <s v="Private"/>
    <n v="530"/>
    <s v="Private"/>
    <s v="â‚¬36,345"/>
    <s v="[]"/>
    <x v="2"/>
    <n v="36345"/>
  </r>
  <r>
    <x v="0"/>
    <x v="0"/>
    <s v="Unknown"/>
    <s v="company_889"/>
    <x v="266"/>
    <s v="14 days ago"/>
    <x v="58"/>
    <x v="6"/>
    <s v="Public"/>
    <n v="6190"/>
    <s v="Public"/>
    <s v="â‚¬127,871 - â‚¬166,230"/>
    <s v="['sql', 'python']"/>
    <x v="8"/>
    <n v="147050.5"/>
  </r>
  <r>
    <x v="0"/>
    <x v="4"/>
    <s v="Unknown"/>
    <s v="company_244"/>
    <x v="329"/>
    <s v="7 days ago"/>
    <x v="5"/>
    <x v="3"/>
    <s v="Public"/>
    <n v="290800"/>
    <s v="â‚¬350.32B"/>
    <s v="â‚¬33,751"/>
    <s v="['spark', 'sql', 'machine learning', 'python']"/>
    <x v="10"/>
    <n v="33751"/>
  </r>
  <r>
    <x v="0"/>
    <x v="4"/>
    <s v="Unknown"/>
    <s v="company_174"/>
    <x v="24"/>
    <s v="a month ago"/>
    <x v="62"/>
    <x v="2"/>
    <s v="Private"/>
    <n v="900"/>
    <s v="Private"/>
    <s v="â‚¬49,109"/>
    <s v="['machine learning', 'python']"/>
    <x v="2"/>
    <n v="49109"/>
  </r>
  <r>
    <x v="0"/>
    <x v="0"/>
    <s v="remote"/>
    <s v="company_083"/>
    <x v="330"/>
    <s v="2 months ago"/>
    <x v="137"/>
    <x v="2"/>
    <s v="Private"/>
    <n v="263610"/>
    <s v="â‚¬25.31B"/>
    <s v="â‚¬4,055 - â‚¬10,055"/>
    <s v="['pandas', 'numpy', 'pytorch', 'scipy', 'opencv', 'hadoop', 'machine learning', 'keras', 'deep learning', 'tensorflow']"/>
    <x v="13"/>
    <n v="7055"/>
  </r>
  <r>
    <x v="0"/>
    <x v="1"/>
    <s v="on-site"/>
    <s v="company_244"/>
    <x v="92"/>
    <s v="5 days ago"/>
    <x v="5"/>
    <x v="3"/>
    <s v="Public"/>
    <n v="290750"/>
    <s v="â‚¬350.32B"/>
    <s v="â‚¬137,008"/>
    <s v="['amazon', 'spark', 'aws', 'r', 'python', 'scala', 'sql', 'machine learning', 'gcp', 'hadoop', 'azure']"/>
    <x v="15"/>
    <n v="137008"/>
  </r>
  <r>
    <x v="0"/>
    <x v="3"/>
    <s v="on-site"/>
    <s v="company_849"/>
    <x v="331"/>
    <s v="a month ago"/>
    <x v="190"/>
    <x v="3"/>
    <s v="Public"/>
    <n v="29410"/>
    <s v="Public"/>
    <s v="â‚¬79,463 - â‚¬135,176"/>
    <s v="['pandas', 'numpy', 'pytorch', 'spark', 'scikit-learn', 'python', 'linux', 'airflow', 'sql', 'machine learning', 'database', 'azure', 'tensorflow']"/>
    <x v="2"/>
    <n v="107319.5"/>
  </r>
  <r>
    <x v="0"/>
    <x v="0"/>
    <s v="on-site"/>
    <s v="company_844"/>
    <x v="113"/>
    <s v="4 days ago"/>
    <x v="46"/>
    <x v="2"/>
    <s v="Public"/>
    <n v="17020"/>
    <s v="â‚¬94.59B"/>
    <s v="â‚¬163,490 - â‚¬170,340"/>
    <s v="['sql', 'machine learning', 'r', 'python']"/>
    <x v="16"/>
    <n v="166915"/>
  </r>
  <r>
    <x v="0"/>
    <x v="1"/>
    <s v="on-site"/>
    <s v="company_273"/>
    <x v="20"/>
    <s v="14 days ago"/>
    <x v="7"/>
    <x v="2"/>
    <s v="Public"/>
    <n v="94560"/>
    <s v="â‚¬230.37B"/>
    <s v="â‚¬231,078 - â‚¬286,791"/>
    <s v="['machine learning']"/>
    <x v="8"/>
    <n v="258934.5"/>
  </r>
  <r>
    <x v="0"/>
    <x v="0"/>
    <s v="hybrid"/>
    <s v="company_146"/>
    <x v="93"/>
    <s v="12 days ago"/>
    <x v="9"/>
    <x v="3"/>
    <s v="Private"/>
    <n v="780"/>
    <s v="â‚¬11.75B"/>
    <s v="â‚¬204,593 - â‚¬281,312"/>
    <s v="[]"/>
    <x v="14"/>
    <n v="242952.5"/>
  </r>
  <r>
    <x v="0"/>
    <x v="0"/>
    <s v="Unknown"/>
    <s v="company_223"/>
    <x v="177"/>
    <s v="6 days ago"/>
    <x v="5"/>
    <x v="2"/>
    <s v="Public"/>
    <n v="10040"/>
    <s v="Public"/>
    <s v="â‚¬99,557"/>
    <s v="['spark', 'aws', 'r', 'python', 'machine learning', 'hadoop', 'deep learning']"/>
    <x v="6"/>
    <n v="99557"/>
  </r>
  <r>
    <x v="0"/>
    <x v="0"/>
    <s v="Unknown"/>
    <s v="company_309"/>
    <x v="14"/>
    <s v="21 days ago"/>
    <x v="5"/>
    <x v="2"/>
    <s v="Private"/>
    <n v="3550"/>
    <s v="Private"/>
    <s v="â‚¬19,234"/>
    <s v="['pytorch', 'aws', 'git', 'python', 'docker', 'sql', 'machine learning', 'gcp', 'deep learning', 'keras', 'azure', 'tensorflow', 'tableau']"/>
    <x v="18"/>
    <n v="19234"/>
  </r>
  <r>
    <x v="0"/>
    <x v="1"/>
    <s v="on-site"/>
    <s v="company_395"/>
    <x v="131"/>
    <s v="18 days ago"/>
    <x v="107"/>
    <x v="0"/>
    <s v="Public"/>
    <n v="55100"/>
    <s v="â‚¬36.18B"/>
    <s v="â‚¬262,864 - â‚¬300,036"/>
    <s v="['aws', 'r', 'python', 'scala', 'machine learning', 'database', 'deep learning']"/>
    <x v="23"/>
    <n v="281450"/>
  </r>
  <r>
    <x v="0"/>
    <x v="0"/>
    <s v="on-site"/>
    <s v="company_878"/>
    <x v="332"/>
    <s v="7 days ago"/>
    <x v="3"/>
    <x v="2"/>
    <s v="Public"/>
    <n v="21260"/>
    <s v="â‚¬144.77B"/>
    <s v="â‚¬117,457 - â‚¬213,904"/>
    <s v="['sql', 'python']"/>
    <x v="10"/>
    <n v="165680.5"/>
  </r>
  <r>
    <x v="0"/>
    <x v="0"/>
    <s v="hybrid"/>
    <s v="company_146"/>
    <x v="93"/>
    <s v="12 days ago"/>
    <x v="9"/>
    <x v="3"/>
    <s v="Private"/>
    <n v="780"/>
    <s v="â‚¬11.90B"/>
    <s v="â‚¬204,590 - â‚¬281,309"/>
    <s v="[]"/>
    <x v="14"/>
    <n v="242949.5"/>
  </r>
  <r>
    <x v="0"/>
    <x v="1"/>
    <s v="on-site"/>
    <s v="company_395"/>
    <x v="131"/>
    <s v="21 days ago"/>
    <x v="107"/>
    <x v="0"/>
    <s v="Public"/>
    <n v="55100"/>
    <s v="â‚¬36.23B"/>
    <s v="â‚¬262,861 - â‚¬300,033"/>
    <s v="['aws', 'r', 'python', 'scala', 'machine learning', 'database', 'deep learning']"/>
    <x v="18"/>
    <n v="281447"/>
  </r>
  <r>
    <x v="1"/>
    <x v="0"/>
    <s v="on-site"/>
    <s v="company_336"/>
    <x v="333"/>
    <s v="4 days ago"/>
    <x v="93"/>
    <x v="2"/>
    <s v="Private"/>
    <n v="14060"/>
    <s v="Private"/>
    <s v="â‚¬177,193"/>
    <s v="['pytorch', 'r', 'python', 'scala', 'java', 'machine learning', 'deep learning', 'tensorflow']"/>
    <x v="16"/>
    <n v="177193"/>
  </r>
  <r>
    <x v="0"/>
    <x v="0"/>
    <s v="hybrid"/>
    <s v="company_081"/>
    <x v="93"/>
    <s v="7 days ago"/>
    <x v="9"/>
    <x v="2"/>
    <s v="Public"/>
    <n v="5020"/>
    <s v="â‚¬4.72B"/>
    <s v="â‚¬135,174 - â‚¬168,967"/>
    <s v="[]"/>
    <x v="10"/>
    <n v="152070.5"/>
  </r>
  <r>
    <x v="0"/>
    <x v="0"/>
    <s v="remote"/>
    <s v="company_421"/>
    <x v="334"/>
    <s v="5 days ago"/>
    <x v="112"/>
    <x v="2"/>
    <s v="Unknown"/>
    <s v="Private"/>
    <s v="Not Mentioned"/>
    <s v="â‚¬7,680"/>
    <s v="['pandas', 'numpy', 'python', 'sklearn', 'machine learning', 'matplotlib']"/>
    <x v="15"/>
    <n v="7680"/>
  </r>
  <r>
    <x v="0"/>
    <x v="4"/>
    <s v="remote"/>
    <s v="company_318"/>
    <x v="335"/>
    <s v="11 days ago"/>
    <x v="90"/>
    <x v="2"/>
    <s v="Public"/>
    <n v="55040"/>
    <s v="â‚¬14.61B"/>
    <s v="â‚¬118,739"/>
    <s v="['machine learning']"/>
    <x v="17"/>
    <n v="118739"/>
  </r>
  <r>
    <x v="0"/>
    <x v="4"/>
    <s v="on-site"/>
    <s v="company_273"/>
    <x v="20"/>
    <s v="a month ago"/>
    <x v="7"/>
    <x v="2"/>
    <s v="Public"/>
    <n v="94540"/>
    <s v="â‚¬230.42B"/>
    <s v="â‚¬132,439 - â‚¬186,325"/>
    <s v="['sql', 'machine learning', 'r', 'python']"/>
    <x v="2"/>
    <n v="159382"/>
  </r>
  <r>
    <x v="0"/>
    <x v="0"/>
    <s v="on-site"/>
    <s v="company_003"/>
    <x v="324"/>
    <s v="12 days ago"/>
    <x v="0"/>
    <x v="0"/>
    <s v="Public"/>
    <s v="â‚¬352.44B"/>
    <s v="Public"/>
    <s v="â‚¬118,736 - â‚¬237,469"/>
    <s v="['pytorch', 'spark', 'r', 'python', 'scala', 'java', 'sql', 'machine learning', 'deep learning', 'keras', 'azure', 'tensorflow']"/>
    <x v="14"/>
    <n v="178102.5"/>
  </r>
  <r>
    <x v="0"/>
    <x v="0"/>
    <s v="hybrid"/>
    <s v="company_316"/>
    <x v="312"/>
    <s v="3 days ago"/>
    <x v="88"/>
    <x v="5"/>
    <s v="Public"/>
    <n v="37990"/>
    <s v="Public"/>
    <s v="â‚¬52,987"/>
    <s v="['aws', 'r', 'python', 'airflow', 'sql', 'machine learning', 'azure', 'tableau']"/>
    <x v="4"/>
    <n v="52987"/>
  </r>
  <r>
    <x v="0"/>
    <x v="0"/>
    <s v="remote"/>
    <s v="company_572"/>
    <x v="8"/>
    <s v="6 days ago"/>
    <x v="9"/>
    <x v="2"/>
    <s v="Private"/>
    <n v="45"/>
    <s v="Private"/>
    <s v="â‚¬146,136 - â‚¬159,836"/>
    <s v="[]"/>
    <x v="6"/>
    <n v="152986"/>
  </r>
  <r>
    <x v="0"/>
    <x v="0"/>
    <s v="Unknown"/>
    <s v="company_371"/>
    <x v="121"/>
    <s v="a month ago"/>
    <x v="93"/>
    <x v="5"/>
    <s v="Private"/>
    <n v="250"/>
    <s v="Private"/>
    <s v="â‚¬109,602 - â‚¬168,968"/>
    <s v="['r', 'python']"/>
    <x v="2"/>
    <n v="139285"/>
  </r>
  <r>
    <x v="0"/>
    <x v="0"/>
    <s v="Unknown"/>
    <s v="company_207"/>
    <x v="99"/>
    <s v="3 days ago"/>
    <x v="61"/>
    <x v="2"/>
    <s v="Public"/>
    <n v="40040"/>
    <s v="â‚¬55.29B"/>
    <s v="â‚¬85,616"/>
    <s v="['git', 'python', 'java', 'sql', 'machine learning']"/>
    <x v="4"/>
    <n v="85616"/>
  </r>
  <r>
    <x v="0"/>
    <x v="0"/>
    <s v="on-site"/>
    <s v="company_003"/>
    <x v="336"/>
    <s v="14 days ago"/>
    <x v="0"/>
    <x v="0"/>
    <s v="Public"/>
    <s v="â‚¬352.44B"/>
    <s v="Public"/>
    <s v="â‚¬100,468 - â‚¬200,934"/>
    <s v="['spark', 'r', 'python', 'scala', 'sql', 'machine learning', 'tensorflow']"/>
    <x v="8"/>
    <n v="150701"/>
  </r>
  <r>
    <x v="0"/>
    <x v="4"/>
    <s v="hybrid"/>
    <s v="company_983"/>
    <x v="337"/>
    <s v="6 days ago"/>
    <x v="107"/>
    <x v="2"/>
    <s v="Public"/>
    <n v="27030"/>
    <s v="Public"/>
    <s v="â‚¬70,880 - â‚¬160,751"/>
    <s v="['spark', 'r', 'python', 'sql', 'hadoop', 'machine learning']"/>
    <x v="6"/>
    <n v="115815.5"/>
  </r>
  <r>
    <x v="0"/>
    <x v="4"/>
    <s v="Unknown"/>
    <s v="company_941"/>
    <x v="338"/>
    <s v="14 days ago"/>
    <x v="182"/>
    <x v="2"/>
    <s v="Public"/>
    <n v="492195"/>
    <s v="â‚¬153.25B"/>
    <s v="â‚¬12,728 - â‚¬26,188"/>
    <s v="['aws', 'r', 'python', 'scala', 'java', 'sql', 'machine learning', 'hadoop', 'azure', 'tableau']"/>
    <x v="8"/>
    <n v="19458"/>
  </r>
  <r>
    <x v="0"/>
    <x v="0"/>
    <s v="hybrid"/>
    <s v="company_270"/>
    <x v="35"/>
    <s v="2 months ago"/>
    <x v="76"/>
    <x v="5"/>
    <s v="Public"/>
    <n v="300010"/>
    <s v="â‚¬121.47B"/>
    <s v="â‚¬101,605 - â‚¬203,204"/>
    <s v="['pytorch', 'aws', 'python', 'sql', 'machine learning', 'gcp', 'deep learning', 'azure']"/>
    <x v="13"/>
    <n v="152404.5"/>
  </r>
  <r>
    <x v="0"/>
    <x v="0"/>
    <s v="Unknown"/>
    <s v="company_291"/>
    <x v="263"/>
    <s v="5 days ago"/>
    <x v="19"/>
    <x v="2"/>
    <s v="Public"/>
    <n v="261060"/>
    <s v="â‚¬71.03B"/>
    <s v="â‚¬9,587"/>
    <s v="['machine learning']"/>
    <x v="15"/>
    <n v="9587"/>
  </r>
  <r>
    <x v="0"/>
    <x v="4"/>
    <s v="hybrid"/>
    <s v="company_983"/>
    <x v="286"/>
    <s v="14 days ago"/>
    <x v="107"/>
    <x v="2"/>
    <s v="Public"/>
    <n v="27070"/>
    <s v="Public"/>
    <s v="â‚¬70,883 - â‚¬160,754"/>
    <s v="['machine learning', 'tableau', 'python']"/>
    <x v="8"/>
    <n v="115818.5"/>
  </r>
  <r>
    <x v="0"/>
    <x v="0"/>
    <s v="hybrid"/>
    <s v="company_083"/>
    <x v="339"/>
    <s v="14 days ago"/>
    <x v="137"/>
    <x v="2"/>
    <s v="Private"/>
    <n v="263590"/>
    <s v="â‚¬25.36B"/>
    <s v="â‚¬32,155"/>
    <s v="['pytorch', 'aws', 'r', 'python', 'docker', 'opencv', 'machine learning', 'gcp', 'kubernetes', 'deep learning', 'azure', 'tensorflow']"/>
    <x v="8"/>
    <n v="32155"/>
  </r>
  <r>
    <x v="0"/>
    <x v="0"/>
    <s v="hybrid"/>
    <s v="company_983"/>
    <x v="340"/>
    <s v="7 days ago"/>
    <x v="107"/>
    <x v="2"/>
    <s v="Public"/>
    <n v="27050"/>
    <s v="Public"/>
    <s v="â‚¬90,426 - â‚¬205,505"/>
    <s v="['r', 'python', 'java', 'sql', 'database', 'tableau']"/>
    <x v="10"/>
    <n v="147965.5"/>
  </r>
  <r>
    <x v="0"/>
    <x v="4"/>
    <s v="on-site"/>
    <s v="company_310"/>
    <x v="341"/>
    <s v="a month ago"/>
    <x v="85"/>
    <x v="2"/>
    <s v="Public"/>
    <n v="20010"/>
    <s v="Public"/>
    <s v="â‚¬82,476"/>
    <s v="['pytorch', 'aws', 'scikit-learn', 'python', 'machine learning', 'azure', 'tensorflow']"/>
    <x v="2"/>
    <n v="82476"/>
  </r>
  <r>
    <x v="0"/>
    <x v="1"/>
    <s v="on-site"/>
    <s v="company_235"/>
    <x v="195"/>
    <s v="14 days ago"/>
    <x v="67"/>
    <x v="3"/>
    <s v="Private"/>
    <n v="33010"/>
    <s v="Private"/>
    <s v="â‚¬137,005"/>
    <s v="['spark', 'r', 'python', 'sql', 'machine learning', 'hadoop', 'deep learning']"/>
    <x v="8"/>
    <n v="137005"/>
  </r>
  <r>
    <x v="0"/>
    <x v="4"/>
    <s v="on-site"/>
    <s v="company_273"/>
    <x v="218"/>
    <s v="18 days ago"/>
    <x v="7"/>
    <x v="2"/>
    <s v="Public"/>
    <n v="94590"/>
    <s v="â‚¬230.32B"/>
    <s v="â‚¬158,014 - â‚¬221,034"/>
    <s v="['sql', 'machine learning', 'r', 'python']"/>
    <x v="23"/>
    <n v="189524"/>
  </r>
  <r>
    <x v="0"/>
    <x v="0"/>
    <s v="Unknown"/>
    <s v="company_678"/>
    <x v="314"/>
    <s v="7 days ago"/>
    <x v="143"/>
    <x v="2"/>
    <s v="Private"/>
    <n v="5060"/>
    <s v="Private"/>
    <s v="â‚¬102,293 - â‚¬163,486"/>
    <s v="['tableau']"/>
    <x v="10"/>
    <n v="132889.5"/>
  </r>
  <r>
    <x v="0"/>
    <x v="0"/>
    <s v="on-site"/>
    <s v="company_980"/>
    <x v="14"/>
    <s v="2 months ago"/>
    <x v="110"/>
    <x v="0"/>
    <s v="Public"/>
    <n v="409050"/>
    <s v="â‚¬67.04B"/>
    <s v="â‚¬31,210 - â‚¬58,197"/>
    <s v="['spark', 'machine learning', 'git', 'python']"/>
    <x v="13"/>
    <n v="44703.5"/>
  </r>
  <r>
    <x v="0"/>
    <x v="1"/>
    <s v="on-site"/>
    <s v="company_316"/>
    <x v="329"/>
    <s v="14 days ago"/>
    <x v="88"/>
    <x v="5"/>
    <s v="Public"/>
    <n v="37950"/>
    <s v="Public"/>
    <s v="â‚¬29,799 - â‚¬32,903"/>
    <s v="['git', 'r', 'python', 'airflow', 'sql', 'machine learning']"/>
    <x v="8"/>
    <n v="31351"/>
  </r>
  <r>
    <x v="0"/>
    <x v="4"/>
    <s v="on-site"/>
    <s v="company_273"/>
    <x v="324"/>
    <s v="a month ago"/>
    <x v="7"/>
    <x v="2"/>
    <s v="Public"/>
    <n v="94590"/>
    <s v="â‚¬230.37B"/>
    <s v="â‚¬132,433 - â‚¬186,319"/>
    <s v="['sql', 'machine learning', 'r', 'python']"/>
    <x v="2"/>
    <n v="159376"/>
  </r>
  <r>
    <x v="0"/>
    <x v="0"/>
    <s v="Unknown"/>
    <s v="company_844"/>
    <x v="20"/>
    <s v="25 days ago"/>
    <x v="46"/>
    <x v="2"/>
    <s v="Public"/>
    <n v="17020"/>
    <s v="â‚¬94.39B"/>
    <s v="â‚¬173,540"/>
    <s v="['sql', 'machine learning', 'r', 'python']"/>
    <x v="11"/>
    <n v="173540"/>
  </r>
  <r>
    <x v="0"/>
    <x v="1"/>
    <s v="on-site"/>
    <s v="company_003"/>
    <x v="324"/>
    <s v="14 days ago"/>
    <x v="0"/>
    <x v="0"/>
    <s v="Public"/>
    <s v="â‚¬352.44B"/>
    <s v="Public"/>
    <s v="â‚¬182,672"/>
    <s v="['spark', 'r', 'python', 'scala', 'machine learning', 'tensorflow']"/>
    <x v="8"/>
    <n v="182672"/>
  </r>
  <r>
    <x v="1"/>
    <x v="0"/>
    <s v="hybrid"/>
    <s v="company_315"/>
    <x v="342"/>
    <s v="a month ago"/>
    <x v="87"/>
    <x v="2"/>
    <s v="Public"/>
    <n v="212630"/>
    <s v="â‚¬188.21B"/>
    <s v="â‚¬41,974"/>
    <s v="['pytorch', 'spark', 'aws', 'scikit-learn', 'python', 'docker', 'deep learning', 'sql', 'machine learning', 'gcp', 'kubernetes', 'hadoop', 'azure', 'tensorflow']"/>
    <x v="2"/>
    <n v="41974"/>
  </r>
  <r>
    <x v="0"/>
    <x v="0"/>
    <s v="on-site"/>
    <s v="company_355"/>
    <x v="343"/>
    <s v="5 days ago"/>
    <x v="9"/>
    <x v="2"/>
    <s v="Public"/>
    <n v="65820"/>
    <s v="â‚¬130.59B"/>
    <s v="â‚¬183,405 - â‚¬252,178"/>
    <s v="['spark', 'r', 'python', 'airflow', 'hadoop']"/>
    <x v="15"/>
    <n v="217791.5"/>
  </r>
  <r>
    <x v="0"/>
    <x v="0"/>
    <s v="hybrid"/>
    <s v="company_008"/>
    <x v="49"/>
    <s v="14 days ago"/>
    <x v="3"/>
    <x v="2"/>
    <s v="Public"/>
    <n v="34660"/>
    <s v="â‚¬81.86B"/>
    <s v="â‚¬32,875 - â‚¬47,285"/>
    <s v="['sql', 'machine learning', 'python']"/>
    <x v="8"/>
    <n v="40080"/>
  </r>
  <r>
    <x v="0"/>
    <x v="2"/>
    <s v="on-site"/>
    <s v="company_445"/>
    <x v="4"/>
    <s v="14 days ago"/>
    <x v="161"/>
    <x v="2"/>
    <s v="Public"/>
    <n v="2270"/>
    <s v="Public"/>
    <s v="â‚¬155,610 - â‚¬207,329"/>
    <s v="[]"/>
    <x v="8"/>
    <n v="181469.5"/>
  </r>
  <r>
    <x v="0"/>
    <x v="0"/>
    <s v="Unknown"/>
    <s v="company_931"/>
    <x v="287"/>
    <s v="14 days ago"/>
    <x v="23"/>
    <x v="2"/>
    <s v="Public"/>
    <n v="26090"/>
    <s v="Public"/>
    <s v="â‚¬78,110"/>
    <s v="['r', 'python', 'sql', 'hadoop', 'machine learning', 'tableau']"/>
    <x v="8"/>
    <n v="78110"/>
  </r>
  <r>
    <x v="0"/>
    <x v="0"/>
    <s v="on-site"/>
    <s v="company_288"/>
    <x v="107"/>
    <s v="8 days ago"/>
    <x v="66"/>
    <x v="2"/>
    <s v="Public"/>
    <n v="26020"/>
    <s v="â‚¬62.74B"/>
    <s v="â‚¬114,169"/>
    <s v="['amazon', 'aws', 'python']"/>
    <x v="3"/>
    <n v="114169"/>
  </r>
  <r>
    <x v="0"/>
    <x v="4"/>
    <s v="hybrid"/>
    <s v="company_257"/>
    <x v="286"/>
    <s v="14 days ago"/>
    <x v="26"/>
    <x v="3"/>
    <s v="Public"/>
    <n v="21030"/>
    <s v="â‚¬383.10B"/>
    <s v="â‚¬106,410 - â‚¬164,863"/>
    <s v="['spark', 'hadoop', 'sql', 'python']"/>
    <x v="8"/>
    <n v="135636.5"/>
  </r>
  <r>
    <x v="0"/>
    <x v="0"/>
    <s v="on-site"/>
    <s v="company_134"/>
    <x v="130"/>
    <s v="6 days ago"/>
    <x v="23"/>
    <x v="0"/>
    <s v="Public"/>
    <n v="865416"/>
    <s v="â‚¬833.06B"/>
    <s v="â‚¬117,828 - â‚¬219,207"/>
    <s v="['amazon', 'r', 'python', 'sql', 'machine learning']"/>
    <x v="6"/>
    <n v="168517.5"/>
  </r>
  <r>
    <x v="0"/>
    <x v="0"/>
    <s v="Unknown"/>
    <s v="company_911"/>
    <x v="344"/>
    <s v="6 days ago"/>
    <x v="5"/>
    <x v="2"/>
    <s v="Public"/>
    <n v="5010"/>
    <s v="Public"/>
    <s v="â‚¬38,945"/>
    <s v="['pytorch', 'spark', 'python', 'sql', 'machine learning']"/>
    <x v="6"/>
    <n v="38945"/>
  </r>
  <r>
    <x v="0"/>
    <x v="0"/>
    <s v="on-site"/>
    <s v="company_291"/>
    <x v="263"/>
    <s v="14 days ago"/>
    <x v="19"/>
    <x v="2"/>
    <s v="Public"/>
    <n v="261060"/>
    <s v="â‚¬70.98B"/>
    <s v="â‚¬9,586"/>
    <s v="['sql', 'machine learning', 'r', 'python']"/>
    <x v="8"/>
    <n v="9586"/>
  </r>
  <r>
    <x v="0"/>
    <x v="0"/>
    <s v="Unknown"/>
    <s v="company_042"/>
    <x v="345"/>
    <s v="7 days ago"/>
    <x v="8"/>
    <x v="2"/>
    <s v="Public"/>
    <n v="990"/>
    <s v="Public"/>
    <s v="â‚¬54,805"/>
    <s v="['pandas', 'python', 'docker', 'airflow', 'sql', 'gcp', 'machine learning']"/>
    <x v="10"/>
    <n v="54805"/>
  </r>
  <r>
    <x v="0"/>
    <x v="1"/>
    <s v="Unknown"/>
    <s v="company_270"/>
    <x v="310"/>
    <s v="a month ago"/>
    <x v="76"/>
    <x v="5"/>
    <s v="Public"/>
    <n v="300010"/>
    <s v="â‚¬121.42B"/>
    <s v="â‚¬131,704 - â‚¬263,406"/>
    <s v="['sql', 'machine learning', 'python']"/>
    <x v="2"/>
    <n v="197555"/>
  </r>
  <r>
    <x v="0"/>
    <x v="0"/>
    <s v="on-site"/>
    <s v="company_149"/>
    <x v="346"/>
    <s v="7 days ago"/>
    <x v="60"/>
    <x v="1"/>
    <s v="Public"/>
    <n v="101040"/>
    <s v="â‚¬305.27B"/>
    <s v="â‚¬77,642 - â‚¬105,041"/>
    <s v="['aws', 'machine learning', 'r', 'azure']"/>
    <x v="10"/>
    <n v="91341.5"/>
  </r>
  <r>
    <x v="0"/>
    <x v="3"/>
    <s v="Unknown"/>
    <s v="company_047"/>
    <x v="14"/>
    <s v="a month ago"/>
    <x v="19"/>
    <x v="2"/>
    <s v="Public"/>
    <n v="222050"/>
    <s v="â‚¬24.21B"/>
    <s v="â‚¬10,049"/>
    <s v="['deep learning', 'machine learning']"/>
    <x v="2"/>
    <n v="10049"/>
  </r>
  <r>
    <x v="0"/>
    <x v="0"/>
    <s v="on-site"/>
    <s v="company_490"/>
    <x v="347"/>
    <s v="3 months ago"/>
    <x v="121"/>
    <x v="2"/>
    <s v="Public"/>
    <n v="83550"/>
    <s v="Public"/>
    <s v="â‚¬116,364 - â‚¬209,888"/>
    <s v="['spark', 'r', 'python', 'sql', 'machine learning', 'database', 'hadoop', 'deep learning']"/>
    <x v="4"/>
    <n v="163126"/>
  </r>
  <r>
    <x v="0"/>
    <x v="0"/>
    <s v="on-site"/>
    <s v="company_310"/>
    <x v="348"/>
    <s v="a month ago"/>
    <x v="85"/>
    <x v="2"/>
    <s v="Public"/>
    <n v="20010"/>
    <s v="Public"/>
    <s v="â‚¬63,118 - â‚¬129,242"/>
    <s v="['sql', 'machine learning', 'r', 'python']"/>
    <x v="2"/>
    <n v="96180"/>
  </r>
  <r>
    <x v="0"/>
    <x v="0"/>
    <s v="remote"/>
    <s v="company_223"/>
    <x v="177"/>
    <s v="a month ago"/>
    <x v="5"/>
    <x v="2"/>
    <s v="Public"/>
    <n v="10070"/>
    <s v="Public"/>
    <s v="â‚¬99,560"/>
    <s v="['pandas', 'numpy', 'pytorch', 'spark', 'scikit-learn', 'python', 'scala', 'java', 'sql', 'machine learning', 'keras', 'deep learning', 'tensorflow']"/>
    <x v="2"/>
    <n v="99560"/>
  </r>
  <r>
    <x v="0"/>
    <x v="4"/>
    <s v="Unknown"/>
    <s v="company_233"/>
    <x v="131"/>
    <s v="a month ago"/>
    <x v="66"/>
    <x v="2"/>
    <s v="Public"/>
    <n v="27390"/>
    <s v="Public"/>
    <s v="â‚¬95,585 - â‚¬172,784"/>
    <s v="['aws', 'git', 'python', 'sql', 'database', 'machine learning', 'matplotlib', 'tensorflow', 'tableau']"/>
    <x v="2"/>
    <n v="134184.5"/>
  </r>
  <r>
    <x v="0"/>
    <x v="0"/>
    <s v="remote"/>
    <s v="company_223"/>
    <x v="349"/>
    <s v="a month ago"/>
    <x v="5"/>
    <x v="2"/>
    <s v="Public"/>
    <n v="10020"/>
    <s v="Public"/>
    <s v="â‚¬99,554"/>
    <s v="['spark', 'python', 'machine learning', 'hadoop', 'deep learning']"/>
    <x v="2"/>
    <n v="99554"/>
  </r>
  <r>
    <x v="0"/>
    <x v="0"/>
    <s v="remote"/>
    <s v="company_421"/>
    <x v="350"/>
    <s v="5 days ago"/>
    <x v="112"/>
    <x v="2"/>
    <s v="Unknown"/>
    <s v="Private"/>
    <s v="Not Mentioned"/>
    <s v="â‚¬7,678"/>
    <s v="['pandas', 'numpy', 'python', 'sklearn', 'machine learning', 'matplotlib']"/>
    <x v="15"/>
    <n v="7678"/>
  </r>
  <r>
    <x v="0"/>
    <x v="0"/>
    <s v="on-site"/>
    <s v="company_233"/>
    <x v="351"/>
    <s v="a month ago"/>
    <x v="66"/>
    <x v="2"/>
    <s v="Public"/>
    <n v="27400"/>
    <s v="Public"/>
    <s v="â‚¬77,773 - â‚¬140,587"/>
    <s v="['amazon', 'aws', 'git', 'r', 'python', 'docker', 'sql', 'kubernetes', 'hadoop']"/>
    <x v="2"/>
    <n v="109180"/>
  </r>
  <r>
    <x v="0"/>
    <x v="0"/>
    <s v="on-site"/>
    <s v="company_916"/>
    <x v="30"/>
    <s v="7 days ago"/>
    <x v="152"/>
    <x v="2"/>
    <s v="Public"/>
    <n v="1300"/>
    <s v="Public"/>
    <s v="â‚¬115,088 - â‚¬143,858"/>
    <s v="['aws', 'git', 'r', 'python', 'sql', 'machine learning']"/>
    <x v="10"/>
    <n v="129473"/>
  </r>
  <r>
    <x v="0"/>
    <x v="0"/>
    <s v="on-site"/>
    <s v="company_392"/>
    <x v="82"/>
    <s v="a month ago"/>
    <x v="106"/>
    <x v="3"/>
    <s v="Public"/>
    <n v="62040"/>
    <s v="â‚¬35.42B"/>
    <s v="â‚¬161,759 - â‚¬271,723"/>
    <s v="['spark', 'sql', 'machine learning', 'python']"/>
    <x v="2"/>
    <n v="216741"/>
  </r>
  <r>
    <x v="0"/>
    <x v="4"/>
    <s v="Unknown"/>
    <s v="company_941"/>
    <x v="46"/>
    <s v="14 days ago"/>
    <x v="182"/>
    <x v="2"/>
    <s v="Public"/>
    <n v="492235"/>
    <s v="â‚¬152.95B"/>
    <s v="â‚¬12,730 - â‚¬26,190"/>
    <s v="['r', 'python', 'java', 'sql', 'database', 'machine learning']"/>
    <x v="8"/>
    <n v="19460"/>
  </r>
  <r>
    <x v="0"/>
    <x v="0"/>
    <s v="remote"/>
    <s v="company_625"/>
    <x v="8"/>
    <s v="6 months ago"/>
    <x v="9"/>
    <x v="6"/>
    <s v="Private"/>
    <n v="90"/>
    <s v="Private"/>
    <s v="â‚¬168,968 - â‚¬210,068"/>
    <s v="[]"/>
    <x v="6"/>
    <n v="189518"/>
  </r>
  <r>
    <x v="1"/>
    <x v="0"/>
    <s v="Unknown"/>
    <s v="company_941"/>
    <x v="14"/>
    <s v="14 days ago"/>
    <x v="182"/>
    <x v="2"/>
    <s v="Public"/>
    <n v="492235"/>
    <s v="â‚¬153.20B"/>
    <s v="â‚¬10,525 - â‚¬26,186"/>
    <s v="['sql', 'python']"/>
    <x v="8"/>
    <n v="18355.5"/>
  </r>
  <r>
    <x v="0"/>
    <x v="2"/>
    <s v="on-site"/>
    <s v="company_096"/>
    <x v="40"/>
    <s v="a month ago"/>
    <x v="9"/>
    <x v="3"/>
    <s v="Private"/>
    <n v="950"/>
    <s v="â‚¬11.58B"/>
    <s v="â‚¬138,831 - â‚¬173,538"/>
    <s v="[]"/>
    <x v="2"/>
    <n v="156184.5"/>
  </r>
  <r>
    <x v="0"/>
    <x v="0"/>
    <s v="Unknown"/>
    <s v="company_375"/>
    <x v="99"/>
    <s v="5 days ago"/>
    <x v="75"/>
    <x v="2"/>
    <s v="Public"/>
    <n v="36130"/>
    <s v="Public"/>
    <s v="â‚¬104,657 - â‚¬128,182"/>
    <s v="['spark', 'aws', 'git', 'python', 'sql', 'gcp', 'deep learning', 'azure', 'tensorflow']"/>
    <x v="15"/>
    <n v="116419.5"/>
  </r>
  <r>
    <x v="0"/>
    <x v="0"/>
    <s v="Unknown"/>
    <s v="company_985"/>
    <x v="145"/>
    <s v="13 days ago"/>
    <x v="27"/>
    <x v="3"/>
    <s v="Private"/>
    <n v="312010"/>
    <s v="Private"/>
    <s v="â‚¬28,046"/>
    <s v="[]"/>
    <x v="9"/>
    <n v="28046"/>
  </r>
  <r>
    <x v="0"/>
    <x v="0"/>
    <s v="on-site"/>
    <s v="company_251"/>
    <x v="222"/>
    <s v="14 days ago"/>
    <x v="89"/>
    <x v="2"/>
    <s v="Public"/>
    <n v="65140"/>
    <s v="Public"/>
    <s v="â‚¬58,366 - â‚¬156,348"/>
    <s v="['aws', 'powerbi', 'r', 'python', 'sql', 'machine learning', 'tableau']"/>
    <x v="8"/>
    <n v="107357"/>
  </r>
  <r>
    <x v="0"/>
    <x v="0"/>
    <s v="on-site"/>
    <s v="company_273"/>
    <x v="102"/>
    <s v="16 days ago"/>
    <x v="7"/>
    <x v="2"/>
    <s v="Public"/>
    <n v="94580"/>
    <s v="â‚¬230.42B"/>
    <s v="â‚¬132,436 - â‚¬186,322"/>
    <s v="['sql', 'machine learning', 'r', 'python']"/>
    <x v="21"/>
    <n v="159379"/>
  </r>
  <r>
    <x v="0"/>
    <x v="0"/>
    <s v="remote"/>
    <s v="company_969"/>
    <x v="295"/>
    <s v="15 days ago"/>
    <x v="187"/>
    <x v="5"/>
    <s v="Public"/>
    <n v="4560"/>
    <s v="Public"/>
    <s v="â‚¬155,267 - â‚¬182,667"/>
    <s v="[]"/>
    <x v="1"/>
    <n v="168967"/>
  </r>
  <r>
    <x v="0"/>
    <x v="0"/>
    <s v="on-site"/>
    <s v="company_003"/>
    <x v="324"/>
    <s v="16 days ago"/>
    <x v="0"/>
    <x v="0"/>
    <s v="Public"/>
    <s v="â‚¬352.44B"/>
    <s v="Public"/>
    <s v="â‚¬130,608 - â‚¬261,214"/>
    <s v="['spark', 'r', 'python', 'scala', 'sql', 'machine learning', 'tensorflow']"/>
    <x v="21"/>
    <n v="195911"/>
  </r>
  <r>
    <x v="0"/>
    <x v="0"/>
    <s v="on-site"/>
    <s v="company_316"/>
    <x v="352"/>
    <s v="21 days ago"/>
    <x v="88"/>
    <x v="5"/>
    <s v="Public"/>
    <n v="37990"/>
    <s v="Public"/>
    <s v="â‚¬29,800 - â‚¬32,904"/>
    <s v="['pytorch', 'aws', 'git', 'r', 'python', 'docker', 'scikit-learn', 'deep learning', 'machine learning', 'gcp', 'kubernetes', 'keras', 'azure', 'tensorflow']"/>
    <x v="18"/>
    <n v="31352"/>
  </r>
  <r>
    <x v="0"/>
    <x v="1"/>
    <s v="Unknown"/>
    <s v="company_244"/>
    <x v="14"/>
    <s v="15 days ago"/>
    <x v="5"/>
    <x v="3"/>
    <s v="Public"/>
    <n v="290740"/>
    <s v="â‚¬350.02B"/>
    <s v="â‚¬27,555 - â‚¬43,659"/>
    <s v="['sql', 'aws', 'tableau']"/>
    <x v="1"/>
    <n v="35607"/>
  </r>
  <r>
    <x v="0"/>
    <x v="0"/>
    <s v="Unknown"/>
    <s v="company_844"/>
    <x v="113"/>
    <s v="a month ago"/>
    <x v="46"/>
    <x v="2"/>
    <s v="Public"/>
    <n v="17050"/>
    <s v="â‚¬94.39B"/>
    <s v="â‚¬173,536"/>
    <s v="['sql', 'machine learning', 'tableau', 'python']"/>
    <x v="2"/>
    <n v="173536"/>
  </r>
  <r>
    <x v="0"/>
    <x v="0"/>
    <s v="on-site"/>
    <s v="company_310"/>
    <x v="114"/>
    <s v="2 days ago"/>
    <x v="85"/>
    <x v="2"/>
    <s v="Public"/>
    <n v="20020"/>
    <s v="Public"/>
    <s v="â‚¬99,006"/>
    <s v="['machine learning', 'database']"/>
    <x v="13"/>
    <n v="99006"/>
  </r>
  <r>
    <x v="0"/>
    <x v="0"/>
    <s v="on-site"/>
    <s v="company_992"/>
    <x v="20"/>
    <s v="14 days ago"/>
    <x v="192"/>
    <x v="2"/>
    <s v="Public"/>
    <n v="6030"/>
    <s v="â‚¬28.17B"/>
    <s v="â‚¬211,535 - â‚¬282,044"/>
    <s v="['tableau', 'sql', 'r', 'python']"/>
    <x v="8"/>
    <n v="246789.5"/>
  </r>
  <r>
    <x v="0"/>
    <x v="0"/>
    <s v="on-site"/>
    <s v="company_860"/>
    <x v="353"/>
    <s v="18 hours ago"/>
    <x v="9"/>
    <x v="2"/>
    <s v="Private"/>
    <n v="2270"/>
    <s v="â‚¬35.16B"/>
    <s v="â‚¬209,476"/>
    <s v="[]"/>
    <x v="23"/>
    <n v="209476"/>
  </r>
  <r>
    <x v="0"/>
    <x v="3"/>
    <s v="hybrid"/>
    <s v="company_083"/>
    <x v="354"/>
    <s v="15 days ago"/>
    <x v="137"/>
    <x v="2"/>
    <s v="Private"/>
    <n v="263590"/>
    <s v="â‚¬25.21B"/>
    <s v="â‚¬32,159"/>
    <s v="['pandas', 'numpy', 'aws', 'r', 'python', 'scikit-learn', 'machine learning', 'gcp', 'deep learning', 'azure', 'matplotlib']"/>
    <x v="1"/>
    <n v="32159"/>
  </r>
  <r>
    <x v="1"/>
    <x v="1"/>
    <s v="on-site"/>
    <s v="company_244"/>
    <x v="355"/>
    <s v="a month ago"/>
    <x v="5"/>
    <x v="3"/>
    <s v="Public"/>
    <n v="290790"/>
    <s v="â‚¬350.27B"/>
    <s v="â‚¬200,933"/>
    <s v="['pandas', 'numpy', 'pytorch', 'scikit-learn', 'machine learning', 'deep learning', 'tensorflow']"/>
    <x v="2"/>
    <n v="200933"/>
  </r>
  <r>
    <x v="0"/>
    <x v="0"/>
    <s v="Unknown"/>
    <s v="company_844"/>
    <x v="33"/>
    <s v="14 days ago"/>
    <x v="46"/>
    <x v="2"/>
    <s v="Public"/>
    <n v="17040"/>
    <s v="â‚¬94.49B"/>
    <s v="â‚¬168,966"/>
    <s v="['pandas', 'numpy', 'git', 'scikit-learn', 'python', 'linux', 'sql', 'machine learning', 'tableau']"/>
    <x v="8"/>
    <n v="168966"/>
  </r>
  <r>
    <x v="0"/>
    <x v="0"/>
    <s v="Unknown"/>
    <s v="company_967"/>
    <x v="356"/>
    <s v="10 days ago"/>
    <x v="31"/>
    <x v="2"/>
    <s v="Private"/>
    <n v="950"/>
    <s v="Private"/>
    <s v="â‚¬2,283,322"/>
    <s v="['azure', 'python']"/>
    <x v="19"/>
    <n v="2283322"/>
  </r>
  <r>
    <x v="3"/>
    <x v="0"/>
    <s v="on-site"/>
    <s v="company_134"/>
    <x v="357"/>
    <s v="2 days ago"/>
    <x v="23"/>
    <x v="0"/>
    <s v="Public"/>
    <n v="865456"/>
    <s v="â‚¬832.91B"/>
    <s v="â‚¬117,826 - â‚¬219,205"/>
    <s v="['amazon', 'spark', 'python', 'scala', 'sql', 'hadoop', 'machine learning']"/>
    <x v="13"/>
    <n v="168515.5"/>
  </r>
  <r>
    <x v="0"/>
    <x v="1"/>
    <s v="on-site"/>
    <s v="company_273"/>
    <x v="7"/>
    <s v="18 days ago"/>
    <x v="7"/>
    <x v="2"/>
    <s v="Public"/>
    <n v="94590"/>
    <s v="â‚¬230.42B"/>
    <s v="â‚¬231,077 - â‚¬286,790"/>
    <s v="['machine learning']"/>
    <x v="23"/>
    <n v="258933.5"/>
  </r>
  <r>
    <x v="0"/>
    <x v="4"/>
    <s v="remote"/>
    <s v="company_421"/>
    <x v="358"/>
    <s v="14 days ago"/>
    <x v="112"/>
    <x v="2"/>
    <s v="Unknown"/>
    <s v="Private"/>
    <s v="Not Mentioned"/>
    <s v="â‚¬25,214"/>
    <s v="['sql', 'machine learning', 'python']"/>
    <x v="8"/>
    <n v="25214"/>
  </r>
  <r>
    <x v="0"/>
    <x v="0"/>
    <s v="hybrid"/>
    <s v="company_008"/>
    <x v="190"/>
    <s v="2 months ago"/>
    <x v="3"/>
    <x v="2"/>
    <s v="Public"/>
    <n v="34630"/>
    <s v="â‚¬81.66B"/>
    <s v="â‚¬112,801 - â‚¬194,406"/>
    <s v="['sql', 'machine learning', 'tableau', 'python']"/>
    <x v="13"/>
    <n v="153603.5"/>
  </r>
  <r>
    <x v="0"/>
    <x v="0"/>
    <s v="hybrid"/>
    <s v="company_983"/>
    <x v="359"/>
    <s v="7 days ago"/>
    <x v="107"/>
    <x v="2"/>
    <s v="Public"/>
    <n v="27040"/>
    <s v="Public"/>
    <s v="â‚¬90,420 - â‚¬205,499"/>
    <s v="['pytorch', 'aws', 'scikit-learn', 'python', 'machine learning', 'azure', 'tensorflow']"/>
    <x v="10"/>
    <n v="147959.5"/>
  </r>
  <r>
    <x v="1"/>
    <x v="3"/>
    <s v="Unknown"/>
    <s v="company_941"/>
    <x v="14"/>
    <s v="17 days ago"/>
    <x v="182"/>
    <x v="2"/>
    <s v="Public"/>
    <n v="492225"/>
    <s v="â‚¬153.30B"/>
    <s v="â‚¬10,524 - â‚¬26,185"/>
    <s v="['machine learning']"/>
    <x v="0"/>
    <n v="18354.5"/>
  </r>
  <r>
    <x v="0"/>
    <x v="1"/>
    <s v="Unknown"/>
    <s v="company_980"/>
    <x v="14"/>
    <s v="7 days ago"/>
    <x v="110"/>
    <x v="0"/>
    <s v="Public"/>
    <n v="409030"/>
    <s v="â‚¬66.89B"/>
    <s v="â‚¬31,966 - â‚¬58,197"/>
    <s v="['spark', 'machine learning', 'git', 'python']"/>
    <x v="10"/>
    <n v="45081.5"/>
  </r>
  <r>
    <x v="0"/>
    <x v="0"/>
    <s v="on-site"/>
    <s v="company_288"/>
    <x v="360"/>
    <s v="7 days ago"/>
    <x v="66"/>
    <x v="2"/>
    <s v="Public"/>
    <n v="26050"/>
    <s v="â‚¬62.99B"/>
    <s v="â‚¬114,170"/>
    <s v="['machine learning']"/>
    <x v="10"/>
    <n v="114170"/>
  </r>
  <r>
    <x v="0"/>
    <x v="0"/>
    <s v="on-site"/>
    <s v="company_355"/>
    <x v="47"/>
    <s v="a month ago"/>
    <x v="9"/>
    <x v="2"/>
    <s v="Public"/>
    <n v="65860"/>
    <s v="â‚¬130.79B"/>
    <s v="â‚¬183,400 - â‚¬252,173"/>
    <s v="['spark', 'r', 'python', 'airflow', 'hadoop']"/>
    <x v="2"/>
    <n v="217786.5"/>
  </r>
  <r>
    <x v="0"/>
    <x v="0"/>
    <s v="on-site"/>
    <s v="company_555"/>
    <x v="176"/>
    <s v="4 days ago"/>
    <x v="8"/>
    <x v="3"/>
    <s v="Public"/>
    <n v="3070"/>
    <s v="Public"/>
    <s v="â‚¬141,567"/>
    <s v="['kubernetes', 'machine learning', 'python']"/>
    <x v="16"/>
    <n v="141567"/>
  </r>
  <r>
    <x v="0"/>
    <x v="0"/>
    <s v="Unknown"/>
    <s v="company_993"/>
    <x v="14"/>
    <s v="11 days ago"/>
    <x v="193"/>
    <x v="2"/>
    <s v="Private"/>
    <n v="590"/>
    <s v="Private"/>
    <s v="â‚¬23,243"/>
    <s v="['aws', 'machine learning', 'python']"/>
    <x v="17"/>
    <n v="23243"/>
  </r>
  <r>
    <x v="0"/>
    <x v="0"/>
    <s v="on-site"/>
    <s v="company_158"/>
    <x v="361"/>
    <s v="a month ago"/>
    <x v="47"/>
    <x v="2"/>
    <s v="Private"/>
    <n v="21640"/>
    <s v="Private"/>
    <s v="â‚¬147,509 - â‚¬199,569"/>
    <s v="['python', 'database', 'linux', 'sql', 'kubernetes', 'keras', 'machine learning', 'tensorflow']"/>
    <x v="2"/>
    <n v="173539"/>
  </r>
  <r>
    <x v="0"/>
    <x v="4"/>
    <s v="Unknown"/>
    <s v="company_889"/>
    <x v="266"/>
    <s v="6 days ago"/>
    <x v="58"/>
    <x v="6"/>
    <s v="Public"/>
    <n v="6190"/>
    <s v="Public"/>
    <s v="â‚¬108,695 - â‚¬141,574"/>
    <s v="['tableau', 'sql', 'r', 'python']"/>
    <x v="6"/>
    <n v="125134.5"/>
  </r>
  <r>
    <x v="1"/>
    <x v="4"/>
    <s v="Unknown"/>
    <s v="company_941"/>
    <x v="14"/>
    <s v="14 days ago"/>
    <x v="182"/>
    <x v="2"/>
    <s v="Public"/>
    <n v="492255"/>
    <s v="â‚¬153.15B"/>
    <s v="â‚¬10,524 - â‚¬26,185"/>
    <s v="['azure', 'machine learning', 'python']"/>
    <x v="8"/>
    <n v="18354.5"/>
  </r>
  <r>
    <x v="0"/>
    <x v="0"/>
    <s v="on-site"/>
    <s v="company_410"/>
    <x v="4"/>
    <s v="4 months ago"/>
    <x v="9"/>
    <x v="2"/>
    <s v="Private"/>
    <n v="320"/>
    <s v="Private"/>
    <s v="â‚¬28,127"/>
    <s v="[]"/>
    <x v="16"/>
    <n v="28127"/>
  </r>
  <r>
    <x v="0"/>
    <x v="0"/>
    <s v="on-site"/>
    <s v="company_316"/>
    <x v="115"/>
    <s v="14 days ago"/>
    <x v="88"/>
    <x v="5"/>
    <s v="Public"/>
    <n v="37950"/>
    <s v="Public"/>
    <s v="â‚¬67,978 - â‚¬93,603"/>
    <s v="['sql', 'azure', 'machine learning', 'python']"/>
    <x v="8"/>
    <n v="80790.5"/>
  </r>
  <r>
    <x v="0"/>
    <x v="0"/>
    <s v="on-site"/>
    <s v="company_273"/>
    <x v="169"/>
    <s v="18 days ago"/>
    <x v="7"/>
    <x v="2"/>
    <s v="Public"/>
    <n v="94570"/>
    <s v="â‚¬230.52B"/>
    <s v="â‚¬132,441 - â‚¬186,327"/>
    <s v="['sql', 'machine learning', 'r', 'python']"/>
    <x v="23"/>
    <n v="159384"/>
  </r>
  <r>
    <x v="0"/>
    <x v="0"/>
    <s v="on-site"/>
    <s v="company_273"/>
    <x v="362"/>
    <s v="18 days ago"/>
    <x v="7"/>
    <x v="2"/>
    <s v="Public"/>
    <n v="94530"/>
    <s v="â‚¬230.57B"/>
    <s v="â‚¬132,434 - â‚¬186,320"/>
    <s v="['sql', 'machine learning', 'r', 'python']"/>
    <x v="23"/>
    <n v="159377"/>
  </r>
  <r>
    <x v="3"/>
    <x v="0"/>
    <s v="on-site"/>
    <s v="company_134"/>
    <x v="36"/>
    <s v="21 days ago"/>
    <x v="23"/>
    <x v="0"/>
    <s v="Public"/>
    <n v="865456"/>
    <s v="â‚¬832.81B"/>
    <s v="â‚¬109,603 - â‚¬219,202"/>
    <s v="['amazon', 'aws']"/>
    <x v="18"/>
    <n v="164402.5"/>
  </r>
  <r>
    <x v="0"/>
    <x v="0"/>
    <s v="Unknown"/>
    <s v="company_207"/>
    <x v="363"/>
    <s v="a month ago"/>
    <x v="61"/>
    <x v="2"/>
    <s v="Public"/>
    <n v="40060"/>
    <s v="â‚¬55.44B"/>
    <s v="â‚¬43,549 - â‚¬48,973"/>
    <s v="['java', 'sql', 'git', 'python']"/>
    <x v="2"/>
    <n v="46261"/>
  </r>
  <r>
    <x v="0"/>
    <x v="0"/>
    <s v="Unknown"/>
    <s v="company_134"/>
    <x v="364"/>
    <s v="a month ago"/>
    <x v="23"/>
    <x v="0"/>
    <s v="Public"/>
    <n v="865446"/>
    <s v="â‚¬833.06B"/>
    <s v="â‚¬68,388 - â‚¬109,537"/>
    <s v="['amazon', 'spark', 'r', 'python', 'sql', 'machine learning', 'hadoop', 'deep learning']"/>
    <x v="2"/>
    <n v="88962.5"/>
  </r>
  <r>
    <x v="0"/>
    <x v="0"/>
    <s v="on-site"/>
    <s v="company_134"/>
    <x v="5"/>
    <s v="a month ago"/>
    <x v="23"/>
    <x v="0"/>
    <s v="Public"/>
    <n v="865416"/>
    <s v="â‚¬833.01B"/>
    <s v="â‚¬146,134 - â‚¬164,401"/>
    <s v="['amazon', 'r', 'python', 'neural network', 'sql', 'machine learning', 'deep learning']"/>
    <x v="2"/>
    <n v="155267.5"/>
  </r>
  <r>
    <x v="1"/>
    <x v="0"/>
    <s v="Unknown"/>
    <s v="company_291"/>
    <x v="263"/>
    <s v="21 days ago"/>
    <x v="19"/>
    <x v="2"/>
    <s v="Public"/>
    <n v="261050"/>
    <s v="â‚¬71.08B"/>
    <s v="â‚¬9,584"/>
    <s v="['deep learning', 'aws', 'machine learning', 'azure']"/>
    <x v="18"/>
    <n v="9584"/>
  </r>
  <r>
    <x v="1"/>
    <x v="0"/>
    <s v="on-site"/>
    <s v="company_883"/>
    <x v="14"/>
    <s v="10 days ago"/>
    <x v="170"/>
    <x v="2"/>
    <s v="Public"/>
    <n v="117790"/>
    <s v="â‚¬104.06B"/>
    <s v="â‚¬19,599"/>
    <s v="['git', 'docker', 'java', 'sql', 'database']"/>
    <x v="19"/>
    <n v="19599"/>
  </r>
  <r>
    <x v="0"/>
    <x v="0"/>
    <s v="hybrid"/>
    <s v="company_214"/>
    <x v="286"/>
    <s v="14 days ago"/>
    <x v="183"/>
    <x v="2"/>
    <s v="Public"/>
    <n v="57270"/>
    <s v="â‚¬17.10B"/>
    <s v="â‚¬105,769"/>
    <s v="['r', 'python', 'sql', 'machine learning', 'matplotlib', 'tableau']"/>
    <x v="8"/>
    <n v="105769"/>
  </r>
  <r>
    <x v="0"/>
    <x v="0"/>
    <s v="Unknown"/>
    <s v="company_980"/>
    <x v="14"/>
    <s v="21 days ago"/>
    <x v="110"/>
    <x v="0"/>
    <s v="Public"/>
    <n v="409070"/>
    <s v="â‚¬66.94B"/>
    <s v="â‚¬31,967 - â‚¬58,198"/>
    <s v="['spark', 'python', 'sql', 'machine learning', 'deep learning']"/>
    <x v="18"/>
    <n v="45082.5"/>
  </r>
  <r>
    <x v="0"/>
    <x v="1"/>
    <s v="on-site"/>
    <s v="company_395"/>
    <x v="94"/>
    <s v="21 days ago"/>
    <x v="107"/>
    <x v="0"/>
    <s v="Public"/>
    <n v="55150"/>
    <s v="â‚¬36.28B"/>
    <s v="â‚¬262,859 - â‚¬300,031"/>
    <s v="['aws', 'r', 'python', 'scala', 'machine learning', 'database', 'deep learning']"/>
    <x v="18"/>
    <n v="281445"/>
  </r>
  <r>
    <x v="0"/>
    <x v="3"/>
    <s v="hybrid"/>
    <s v="company_008"/>
    <x v="365"/>
    <s v="a month ago"/>
    <x v="3"/>
    <x v="2"/>
    <s v="Public"/>
    <n v="34690"/>
    <s v="â‚¬81.71B"/>
    <s v="â‚¬112,804 - â‚¬194,409"/>
    <s v="['sql', 'database']"/>
    <x v="2"/>
    <n v="153606.5"/>
  </r>
  <r>
    <x v="0"/>
    <x v="4"/>
    <s v="hybrid"/>
    <s v="company_983"/>
    <x v="286"/>
    <s v="14 days ago"/>
    <x v="107"/>
    <x v="2"/>
    <s v="Public"/>
    <n v="27040"/>
    <s v="Public"/>
    <s v="â‚¬70,880 - â‚¬160,751"/>
    <s v="['sql', 'machine learning', 'python']"/>
    <x v="8"/>
    <n v="115815.5"/>
  </r>
  <r>
    <x v="0"/>
    <x v="0"/>
    <s v="on-site"/>
    <s v="company_489"/>
    <x v="19"/>
    <s v="14 days ago"/>
    <x v="27"/>
    <x v="1"/>
    <s v="Public"/>
    <n v="18900"/>
    <s v="Public"/>
    <s v="â‚¬91,610 - â‚¬114,535"/>
    <s v="['spark', 'machine learning', 'r', 'python']"/>
    <x v="8"/>
    <n v="103072.5"/>
  </r>
  <r>
    <x v="0"/>
    <x v="1"/>
    <s v="on-site"/>
    <s v="company_244"/>
    <x v="366"/>
    <s v="a month ago"/>
    <x v="5"/>
    <x v="3"/>
    <s v="Public"/>
    <n v="290750"/>
    <s v="â‚¬350.17B"/>
    <s v="â‚¬155,271"/>
    <s v="['sql', 'machine learning', 'tableau', 'python']"/>
    <x v="2"/>
    <n v="155271"/>
  </r>
  <r>
    <x v="0"/>
    <x v="0"/>
    <s v="on-site"/>
    <s v="company_445"/>
    <x v="4"/>
    <s v="20 hours ago"/>
    <x v="161"/>
    <x v="2"/>
    <s v="Public"/>
    <n v="2270"/>
    <s v="Public"/>
    <s v="â‚¬94,259 - â‚¬172,805"/>
    <s v="[]"/>
    <x v="12"/>
    <n v="133532"/>
  </r>
  <r>
    <x v="0"/>
    <x v="1"/>
    <s v="Unknown"/>
    <s v="company_270"/>
    <x v="367"/>
    <s v="14 days ago"/>
    <x v="76"/>
    <x v="5"/>
    <s v="Public"/>
    <n v="300020"/>
    <s v="â‚¬121.27B"/>
    <s v="â‚¬131,704 - â‚¬263,406"/>
    <s v="['sql', 'r', 'python']"/>
    <x v="8"/>
    <n v="197555"/>
  </r>
  <r>
    <x v="0"/>
    <x v="4"/>
    <s v="on-site"/>
    <s v="company_316"/>
    <x v="352"/>
    <s v="6 days ago"/>
    <x v="88"/>
    <x v="5"/>
    <s v="Public"/>
    <n v="37940"/>
    <s v="Public"/>
    <s v="â‚¬18,195"/>
    <s v="['r', 'python', 'sql', 'hadoop', 'machine learning']"/>
    <x v="6"/>
    <n v="18195"/>
  </r>
  <r>
    <x v="0"/>
    <x v="0"/>
    <s v="Unknown"/>
    <s v="company_250"/>
    <x v="368"/>
    <s v="a month ago"/>
    <x v="71"/>
    <x v="5"/>
    <s v="Private"/>
    <n v="76060"/>
    <s v="Private"/>
    <s v="â‚¬69,597 - â‚¬86,951"/>
    <s v="['pandas', 'aws', 'scikit-learn', 'python', 'sql', 'machine learning', 'gcp', 'azure']"/>
    <x v="2"/>
    <n v="78274"/>
  </r>
  <r>
    <x v="1"/>
    <x v="0"/>
    <s v="Unknown"/>
    <s v="company_941"/>
    <x v="14"/>
    <s v="14 days ago"/>
    <x v="182"/>
    <x v="2"/>
    <s v="Public"/>
    <n v="492225"/>
    <s v="â‚¬153.30B"/>
    <s v="â‚¬10,525 - â‚¬26,186"/>
    <s v="['azure', 'machine learning', 'python']"/>
    <x v="8"/>
    <n v="18355.5"/>
  </r>
  <r>
    <x v="0"/>
    <x v="0"/>
    <s v="on-site"/>
    <s v="company_310"/>
    <x v="274"/>
    <s v="2 days ago"/>
    <x v="85"/>
    <x v="2"/>
    <s v="Public"/>
    <n v="20010"/>
    <s v="Public"/>
    <s v="â‚¬63,112 - â‚¬129,236"/>
    <s v="['r', 'python', 'sql', 'machine learning', 'tableau']"/>
    <x v="13"/>
    <n v="96174"/>
  </r>
  <r>
    <x v="0"/>
    <x v="0"/>
    <s v="Unknown"/>
    <s v="company_763"/>
    <x v="369"/>
    <s v="6 days ago"/>
    <x v="5"/>
    <x v="2"/>
    <s v="Public"/>
    <n v="26640"/>
    <s v="Public"/>
    <s v="â‚¬18,678"/>
    <s v="['pytorch', 'aws', 'git', 'python', 'java', 'gcp', 'azure', 'tensorflow']"/>
    <x v="6"/>
    <n v="18678"/>
  </r>
  <r>
    <x v="0"/>
    <x v="1"/>
    <s v="Unknown"/>
    <s v="company_993"/>
    <x v="14"/>
    <s v="7 days ago"/>
    <x v="193"/>
    <x v="2"/>
    <s v="Private"/>
    <n v="590"/>
    <s v="Private"/>
    <s v="â‚¬23,240"/>
    <s v="['pytorch', 'aws', 'python', 'docker', 'machine learning', 'gcp', 'deep learning', 'azure', 'tensorflow']"/>
    <x v="10"/>
    <n v="23240"/>
  </r>
  <r>
    <x v="0"/>
    <x v="3"/>
    <s v="hybrid"/>
    <s v="company_313"/>
    <x v="370"/>
    <s v="14 days ago"/>
    <x v="69"/>
    <x v="3"/>
    <s v="Public"/>
    <n v="29530"/>
    <s v="Public"/>
    <s v="â‚¬73,455"/>
    <s v="['python']"/>
    <x v="8"/>
    <n v="73455"/>
  </r>
  <r>
    <x v="1"/>
    <x v="0"/>
    <s v="hybrid"/>
    <s v="company_233"/>
    <x v="262"/>
    <s v="a month ago"/>
    <x v="66"/>
    <x v="2"/>
    <s v="Public"/>
    <n v="27390"/>
    <s v="Public"/>
    <s v="â‚¬115,179 - â‚¬208,201"/>
    <s v="['r']"/>
    <x v="2"/>
    <n v="161690"/>
  </r>
  <r>
    <x v="0"/>
    <x v="0"/>
    <s v="Unknown"/>
    <s v="company_223"/>
    <x v="287"/>
    <s v="a month ago"/>
    <x v="5"/>
    <x v="2"/>
    <s v="Public"/>
    <n v="10030"/>
    <s v="Public"/>
    <s v="â‚¬76,372"/>
    <s v="['powerbi', 'python', 'sql', 'machine learning', 'tableau']"/>
    <x v="2"/>
    <n v="76372"/>
  </r>
  <r>
    <x v="1"/>
    <x v="0"/>
    <s v="Unknown"/>
    <s v="company_106"/>
    <x v="46"/>
    <s v="4 days ago"/>
    <x v="38"/>
    <x v="7"/>
    <s v="Private"/>
    <n v="38120"/>
    <s v="â‚¬34.27B"/>
    <s v="â‚¬26,752"/>
    <s v="['spark', 'aws', 'powerbi', 'python', 'docker', 'sql', 'machine learning', 'gcp', 'kubernetes', 'deep learning', 'azure']"/>
    <x v="16"/>
    <n v="26752"/>
  </r>
  <r>
    <x v="0"/>
    <x v="2"/>
    <s v="on-site"/>
    <s v="company_888"/>
    <x v="4"/>
    <s v="5 days ago"/>
    <x v="69"/>
    <x v="2"/>
    <s v="Private"/>
    <n v="600"/>
    <s v="Private"/>
    <s v="â‚¬112,341"/>
    <s v="[]"/>
    <x v="15"/>
    <n v="112341"/>
  </r>
  <r>
    <x v="0"/>
    <x v="0"/>
    <s v="on-site"/>
    <s v="company_917"/>
    <x v="371"/>
    <s v="14 days ago"/>
    <x v="46"/>
    <x v="2"/>
    <s v="Public"/>
    <n v="258800"/>
    <s v="â‚¬1.39T"/>
    <s v="â‚¬179,934 - â‚¬265,787"/>
    <s v="['sql', 'r', 'python']"/>
    <x v="8"/>
    <n v="222860.5"/>
  </r>
  <r>
    <x v="0"/>
    <x v="1"/>
    <s v="on-site"/>
    <s v="company_395"/>
    <x v="201"/>
    <s v="a month ago"/>
    <x v="107"/>
    <x v="0"/>
    <s v="Public"/>
    <n v="55140"/>
    <s v="â‚¬36.08B"/>
    <s v="â‚¬192,716 - â‚¬219,933"/>
    <s v="['spark', 'aws', 'r', 'python', 'scala', 'database', 'sql', 'machine learning', 'kubernetes', 'deep learning']"/>
    <x v="2"/>
    <n v="206324.5"/>
  </r>
  <r>
    <x v="0"/>
    <x v="0"/>
    <s v="hybrid"/>
    <s v="company_983"/>
    <x v="372"/>
    <s v="23 days ago"/>
    <x v="107"/>
    <x v="2"/>
    <s v="Public"/>
    <n v="27070"/>
    <s v="Public"/>
    <s v="â‚¬90,424 - â‚¬205,503"/>
    <s v="['machine learning', 'python']"/>
    <x v="22"/>
    <n v="147963.5"/>
  </r>
  <r>
    <x v="0"/>
    <x v="0"/>
    <s v="on-site"/>
    <s v="company_003"/>
    <x v="324"/>
    <s v="18 days ago"/>
    <x v="0"/>
    <x v="0"/>
    <s v="Public"/>
    <s v="â‚¬352.44B"/>
    <s v="Public"/>
    <s v="â‚¬130,611 - â‚¬261,217"/>
    <s v="['pytorch', 'spark', 'r', 'python', 'scala', 'java', 'machine learning', 'deep learning', 'tensorflow']"/>
    <x v="23"/>
    <n v="195914"/>
  </r>
  <r>
    <x v="0"/>
    <x v="0"/>
    <s v="Unknown"/>
    <s v="company_212"/>
    <x v="14"/>
    <s v="a month ago"/>
    <x v="8"/>
    <x v="2"/>
    <s v="Public"/>
    <n v="222500"/>
    <s v="Public"/>
    <s v="â‚¬17,919"/>
    <s v="['pytorch', 'spark', 'aws', 'python', 'sql', 'machine learning', 'gcp', 'hadoop', 'azure', 'tensorflow']"/>
    <x v="2"/>
    <n v="17919"/>
  </r>
  <r>
    <x v="0"/>
    <x v="0"/>
    <s v="Unknown"/>
    <s v="company_134"/>
    <x v="373"/>
    <s v="a month ago"/>
    <x v="23"/>
    <x v="0"/>
    <s v="Public"/>
    <n v="865476"/>
    <s v="â‚¬833.01B"/>
    <s v="â‚¬51,263 - â‚¬109,545"/>
    <s v="['amazon', 'spark', 'r', 'python', 'sql', 'machine learning', 'hadoop', 'deep learning']"/>
    <x v="2"/>
    <n v="80404"/>
  </r>
  <r>
    <x v="0"/>
    <x v="0"/>
    <s v="hybrid"/>
    <s v="company_183"/>
    <x v="73"/>
    <s v="a month ago"/>
    <x v="57"/>
    <x v="2"/>
    <s v="Private"/>
    <n v="3790"/>
    <s v="Private"/>
    <s v="â‚¬61,775"/>
    <s v="['pandas', 'numpy', 'spark', 'aws', 'scikit-learn', 'python', 'docker', 'airflow', 'machine learning', 'deep learning']"/>
    <x v="2"/>
    <n v="61775"/>
  </r>
  <r>
    <x v="0"/>
    <x v="0"/>
    <s v="Unknown"/>
    <s v="company_993"/>
    <x v="14"/>
    <s v="a month ago"/>
    <x v="193"/>
    <x v="2"/>
    <s v="Private"/>
    <n v="590"/>
    <s v="Private"/>
    <s v="â‚¬23,238"/>
    <s v="['pytorch', 'aws', 'python', 'docker', 'machine learning', 'gcp', 'deep learning', 'azure', 'tensorflow']"/>
    <x v="2"/>
    <n v="23238"/>
  </r>
  <r>
    <x v="1"/>
    <x v="1"/>
    <s v="on-site"/>
    <s v="company_244"/>
    <x v="374"/>
    <s v="22 days ago"/>
    <x v="5"/>
    <x v="3"/>
    <s v="Public"/>
    <n v="290760"/>
    <s v="â‚¬350.07B"/>
    <s v="â‚¬196,372"/>
    <s v="['pandas', 'numpy', 'pytorch', 'scikit-learn', 'machine learning', 'deep learning', 'tensorflow']"/>
    <x v="20"/>
    <n v="196372"/>
  </r>
  <r>
    <x v="0"/>
    <x v="0"/>
    <s v="Unknown"/>
    <s v="company_614"/>
    <x v="191"/>
    <s v="7 days ago"/>
    <x v="87"/>
    <x v="2"/>
    <s v="Private"/>
    <n v="10210"/>
    <s v="Private"/>
    <s v="â‚¬65,766"/>
    <s v="['amazon', 'deep learning', 'machine learning', 'python']"/>
    <x v="10"/>
    <n v="65766"/>
  </r>
  <r>
    <x v="0"/>
    <x v="0"/>
    <s v="Unknown"/>
    <s v="company_171"/>
    <x v="14"/>
    <s v="20 days ago"/>
    <x v="52"/>
    <x v="2"/>
    <s v="Public"/>
    <n v="524588"/>
    <s v="â‚¬119.33B"/>
    <s v="â‚¬33,047 - â‚¬52,697"/>
    <s v="['database', 'machine learning', 'java']"/>
    <x v="12"/>
    <n v="42872"/>
  </r>
  <r>
    <x v="0"/>
    <x v="4"/>
    <s v="hybrid"/>
    <s v="company_357"/>
    <x v="375"/>
    <s v="14 days ago"/>
    <x v="99"/>
    <x v="2"/>
    <s v="Public"/>
    <n v="132030"/>
    <s v="â‚¬142.18B"/>
    <s v="â‚¬115,081"/>
    <s v="[]"/>
    <x v="8"/>
    <n v="115081"/>
  </r>
  <r>
    <x v="1"/>
    <x v="4"/>
    <s v="Unknown"/>
    <s v="company_941"/>
    <x v="14"/>
    <s v="14 days ago"/>
    <x v="182"/>
    <x v="2"/>
    <s v="Public"/>
    <n v="492205"/>
    <s v="â‚¬153.20B"/>
    <s v="â‚¬10,526 - â‚¬26,187"/>
    <s v="['sql', 'python']"/>
    <x v="8"/>
    <n v="18356.5"/>
  </r>
  <r>
    <x v="0"/>
    <x v="2"/>
    <s v="hybrid"/>
    <s v="company_851"/>
    <x v="208"/>
    <s v="2 months ago"/>
    <x v="166"/>
    <x v="2"/>
    <s v="Private"/>
    <n v="3560"/>
    <s v="Private"/>
    <s v="â‚¬127,872 - â‚¬137,005"/>
    <s v="[]"/>
    <x v="13"/>
    <n v="132438.5"/>
  </r>
  <r>
    <x v="0"/>
    <x v="0"/>
    <s v="on-site"/>
    <s v="company_395"/>
    <x v="323"/>
    <s v="15 days ago"/>
    <x v="107"/>
    <x v="0"/>
    <s v="Public"/>
    <n v="55140"/>
    <s v="â‚¬36.03B"/>
    <s v="â‚¬158,011 - â‚¬180,296"/>
    <s v="['pytorch', 'aws', 'database', 'machine learning', 'tensorflow']"/>
    <x v="1"/>
    <n v="169153.5"/>
  </r>
  <r>
    <x v="0"/>
    <x v="2"/>
    <s v="remote"/>
    <s v="company_415"/>
    <x v="8"/>
    <s v="5 days ago"/>
    <x v="5"/>
    <x v="2"/>
    <s v="Private"/>
    <n v="900"/>
    <s v="â‚¬4.60B"/>
    <s v="â‚¬164,405"/>
    <s v="[]"/>
    <x v="15"/>
    <n v="164405"/>
  </r>
  <r>
    <x v="0"/>
    <x v="0"/>
    <s v="Unknown"/>
    <s v="company_233"/>
    <x v="376"/>
    <s v="7 days ago"/>
    <x v="66"/>
    <x v="2"/>
    <s v="Public"/>
    <n v="27420"/>
    <s v="Public"/>
    <s v="â‚¬77,776 - â‚¬140,590"/>
    <s v="['pytorch', 'aws', 'r', 'python', 'docker', 'scikit-learn', 'sql', 'machine learning', 'gcp', 'kubernetes', 'deep learning', 'azure', 'matplotlib', 'tensorflow', 'tableau']"/>
    <x v="10"/>
    <n v="109183"/>
  </r>
  <r>
    <x v="0"/>
    <x v="0"/>
    <s v="on-site"/>
    <s v="company_310"/>
    <x v="110"/>
    <s v="a month ago"/>
    <x v="85"/>
    <x v="2"/>
    <s v="Public"/>
    <n v="20030"/>
    <s v="Public"/>
    <s v="â‚¬66,405 - â‚¬136,274"/>
    <s v="['sql', 'machine learning', 'r', 'python']"/>
    <x v="2"/>
    <n v="101339.5"/>
  </r>
  <r>
    <x v="0"/>
    <x v="1"/>
    <s v="Unknown"/>
    <s v="company_244"/>
    <x v="14"/>
    <s v="7 days ago"/>
    <x v="5"/>
    <x v="3"/>
    <s v="Public"/>
    <n v="290770"/>
    <s v="â‚¬350.37B"/>
    <s v="â‚¬27,553 - â‚¬43,657"/>
    <s v="['machine learning', 'python']"/>
    <x v="10"/>
    <n v="35605"/>
  </r>
  <r>
    <x v="0"/>
    <x v="0"/>
    <s v="Unknown"/>
    <s v="company_917"/>
    <x v="377"/>
    <s v="5 days ago"/>
    <x v="46"/>
    <x v="2"/>
    <s v="Public"/>
    <n v="258810"/>
    <s v="â‚¬1.44T"/>
    <s v="â‚¬148,524 - â‚¬185,955"/>
    <s v="[]"/>
    <x v="15"/>
    <n v="167239.5"/>
  </r>
  <r>
    <x v="0"/>
    <x v="1"/>
    <s v="on-site"/>
    <s v="company_041"/>
    <x v="121"/>
    <s v="16 days ago"/>
    <x v="16"/>
    <x v="5"/>
    <s v="Public"/>
    <n v="93570"/>
    <s v="â‚¬246.93B"/>
    <s v="â‚¬159,837"/>
    <s v="['pytorch', 'aws', 'machine learning', 'gcp', 'azure', 'tensorflow']"/>
    <x v="21"/>
    <n v="159837"/>
  </r>
  <r>
    <x v="0"/>
    <x v="4"/>
    <s v="remote"/>
    <s v="company_421"/>
    <x v="378"/>
    <s v="14 days ago"/>
    <x v="112"/>
    <x v="2"/>
    <s v="Unknown"/>
    <s v="Private"/>
    <s v="Not Mentioned"/>
    <s v="â‚¬25,213"/>
    <s v="['sql', 'machine learning', 'python']"/>
    <x v="8"/>
    <n v="25213"/>
  </r>
  <r>
    <x v="0"/>
    <x v="1"/>
    <s v="Unknown"/>
    <s v="company_366"/>
    <x v="132"/>
    <s v="a month ago"/>
    <x v="101"/>
    <x v="2"/>
    <s v="Private"/>
    <n v="180"/>
    <s v="Private"/>
    <s v="â‚¬100,474 - â‚¬146,140"/>
    <s v="['pytorch', 'spark', 'aws', 'r', 'python', 'scikit-learn', 'scala', 'sql', 'machine learning', 'gcp', 'azure', 'tensorflow']"/>
    <x v="2"/>
    <n v="123307"/>
  </r>
  <r>
    <x v="0"/>
    <x v="0"/>
    <s v="on-site"/>
    <s v="company_937"/>
    <x v="9"/>
    <s v="2 months ago"/>
    <x v="29"/>
    <x v="0"/>
    <s v="Public"/>
    <n v="500010"/>
    <s v="Public"/>
    <s v="â‚¬116,908"/>
    <s v="['sql', 'tableau', 'python']"/>
    <x v="13"/>
    <n v="116908"/>
  </r>
  <r>
    <x v="0"/>
    <x v="0"/>
    <s v="hybrid"/>
    <s v="company_848"/>
    <x v="243"/>
    <s v="14 days ago"/>
    <x v="165"/>
    <x v="5"/>
    <s v="Public"/>
    <n v="107730"/>
    <s v="â‚¬161.15B"/>
    <s v="â‚¬120,837 - â‚¬224,408"/>
    <s v="['r', 'python']"/>
    <x v="8"/>
    <n v="172622.5"/>
  </r>
  <r>
    <x v="0"/>
    <x v="0"/>
    <s v="hybrid"/>
    <s v="company_980"/>
    <x v="316"/>
    <s v="21 days ago"/>
    <x v="110"/>
    <x v="0"/>
    <s v="Public"/>
    <n v="409060"/>
    <s v="â‚¬66.99B"/>
    <s v="â‚¬86,769 - â‚¬156,182"/>
    <s v="['python', 'scala', 'sql', 'machine learning', 'hadoop', 'deep learning']"/>
    <x v="18"/>
    <n v="121475.5"/>
  </r>
  <r>
    <x v="0"/>
    <x v="2"/>
    <s v="hybrid"/>
    <s v="company_851"/>
    <x v="379"/>
    <s v="2 months ago"/>
    <x v="166"/>
    <x v="2"/>
    <s v="Private"/>
    <n v="3520"/>
    <s v="Private"/>
    <s v="â‚¬34,569"/>
    <s v="[]"/>
    <x v="13"/>
    <n v="34569"/>
  </r>
  <r>
    <x v="0"/>
    <x v="0"/>
    <s v="on-site"/>
    <s v="company_003"/>
    <x v="336"/>
    <s v="16 days ago"/>
    <x v="0"/>
    <x v="0"/>
    <s v="Public"/>
    <s v="â‚¬352.44B"/>
    <s v="Public"/>
    <s v="â‚¬98,645 - â‚¬197,284"/>
    <s v="['spark', 'r', 'python', 'scala', 'sql', 'machine learning', 'tensorflow']"/>
    <x v="21"/>
    <n v="147964.5"/>
  </r>
  <r>
    <x v="0"/>
    <x v="0"/>
    <s v="on-site"/>
    <s v="company_985"/>
    <x v="380"/>
    <s v="7 days ago"/>
    <x v="27"/>
    <x v="3"/>
    <s v="Private"/>
    <n v="312060"/>
    <s v="Private"/>
    <s v="â‚¬28,046"/>
    <s v="['pandas', 'numpy', 'python', 'machine learning', 'azure']"/>
    <x v="10"/>
    <n v="28046"/>
  </r>
  <r>
    <x v="0"/>
    <x v="0"/>
    <s v="hybrid"/>
    <s v="company_994"/>
    <x v="381"/>
    <s v="4 days ago"/>
    <x v="194"/>
    <x v="3"/>
    <s v="Private"/>
    <n v="20600"/>
    <s v="Private"/>
    <s v="â‚¬115,087 - â‚¬127,874"/>
    <s v="['machine learning']"/>
    <x v="16"/>
    <n v="121480.5"/>
  </r>
  <r>
    <x v="1"/>
    <x v="1"/>
    <s v="on-site"/>
    <s v="company_244"/>
    <x v="355"/>
    <s v="a month ago"/>
    <x v="5"/>
    <x v="3"/>
    <s v="Public"/>
    <n v="290740"/>
    <s v="â‚¬350.12B"/>
    <s v="â‚¬164,408"/>
    <s v="['pandas', 'numpy', 'pytorch', 'scikit-learn', 'machine learning', 'deep learning', 'tensorflow']"/>
    <x v="2"/>
    <n v="164408"/>
  </r>
  <r>
    <x v="1"/>
    <x v="3"/>
    <s v="on-site"/>
    <s v="company_881"/>
    <x v="323"/>
    <s v="8 months ago"/>
    <x v="195"/>
    <x v="2"/>
    <s v="Private"/>
    <n v="110010"/>
    <s v="â‚¬128.22B"/>
    <s v="â‚¬132,436 - â‚¬228,335"/>
    <s v="['pytorch', 'python', 'neural network', 'machine learning', 'deep learning', 'tensorflow']"/>
    <x v="3"/>
    <n v="180385.5"/>
  </r>
  <r>
    <x v="0"/>
    <x v="0"/>
    <s v="on-site"/>
    <s v="company_917"/>
    <x v="324"/>
    <s v="14 days ago"/>
    <x v="46"/>
    <x v="2"/>
    <s v="Public"/>
    <n v="258790"/>
    <s v="â‚¬1.44T"/>
    <s v="â‚¬207,334 - â‚¬292,273"/>
    <s v="['sql', 'r', 'python']"/>
    <x v="8"/>
    <n v="249803.5"/>
  </r>
  <r>
    <x v="0"/>
    <x v="0"/>
    <s v="on-site"/>
    <s v="company_392"/>
    <x v="382"/>
    <s v="a month ago"/>
    <x v="106"/>
    <x v="3"/>
    <s v="Public"/>
    <n v="62030"/>
    <s v="â‚¬35.07B"/>
    <s v="â‚¬157,012 - â‚¬263,789"/>
    <s v="['spark', 'aws', 'python', 'sql', 'machine learning', 'gcp', 'azure']"/>
    <x v="2"/>
    <n v="210400.5"/>
  </r>
  <r>
    <x v="0"/>
    <x v="0"/>
    <s v="hybrid"/>
    <s v="company_872"/>
    <x v="317"/>
    <s v="7 days ago"/>
    <x v="29"/>
    <x v="3"/>
    <s v="Public"/>
    <n v="11060"/>
    <s v="â‚¬18.63B"/>
    <s v="â‚¬94,080"/>
    <s v="['machine learning']"/>
    <x v="10"/>
    <n v="94080"/>
  </r>
  <r>
    <x v="1"/>
    <x v="4"/>
    <s v="Unknown"/>
    <s v="company_941"/>
    <x v="14"/>
    <s v="14 days ago"/>
    <x v="182"/>
    <x v="2"/>
    <s v="Public"/>
    <n v="492205"/>
    <s v="â‚¬153.25B"/>
    <s v="â‚¬10,529 - â‚¬26,190"/>
    <s v="['pytorch', 'aws', 'python', 'docker', 'machine learning', 'azure', 'tensorflow']"/>
    <x v="8"/>
    <n v="18359.5"/>
  </r>
  <r>
    <x v="0"/>
    <x v="0"/>
    <s v="hybrid"/>
    <s v="company_922"/>
    <x v="383"/>
    <s v="2 months ago"/>
    <x v="177"/>
    <x v="3"/>
    <s v="Public"/>
    <n v="18170"/>
    <s v="â‚¬21.70B"/>
    <s v="â‚¬101,126 - â‚¬151,688"/>
    <s v="['pandas', 'git', 'python', 'sql', 'matplotlib']"/>
    <x v="13"/>
    <n v="126407"/>
  </r>
  <r>
    <x v="1"/>
    <x v="0"/>
    <s v="on-site"/>
    <s v="company_931"/>
    <x v="36"/>
    <s v="14 days ago"/>
    <x v="23"/>
    <x v="2"/>
    <s v="Public"/>
    <n v="26050"/>
    <s v="Public"/>
    <s v="â‚¬252,999"/>
    <s v="['scala', 'machine learning', 'python']"/>
    <x v="8"/>
    <n v="252999"/>
  </r>
  <r>
    <x v="0"/>
    <x v="0"/>
    <s v="remote"/>
    <s v="company_832"/>
    <x v="384"/>
    <s v="8 days ago"/>
    <x v="162"/>
    <x v="5"/>
    <s v="Unknown"/>
    <n v="120050"/>
    <s v="Nonprofit"/>
    <s v="â‚¬159,841"/>
    <s v="['r', 'python', 'scala', 'sql', 'machine learning', 'database', 'azure', 'tableau']"/>
    <x v="3"/>
    <n v="159841"/>
  </r>
  <r>
    <x v="0"/>
    <x v="0"/>
    <s v="hybrid"/>
    <s v="company_081"/>
    <x v="35"/>
    <s v="7 days ago"/>
    <x v="9"/>
    <x v="2"/>
    <s v="Public"/>
    <n v="5030"/>
    <s v="â‚¬4.47B"/>
    <s v="â‚¬135,178 - â‚¬168,971"/>
    <s v="[]"/>
    <x v="10"/>
    <n v="152074.5"/>
  </r>
  <r>
    <x v="0"/>
    <x v="0"/>
    <s v="hybrid"/>
    <s v="company_291"/>
    <x v="317"/>
    <s v="7 days ago"/>
    <x v="19"/>
    <x v="2"/>
    <s v="Public"/>
    <n v="261070"/>
    <s v="â‚¬71.33B"/>
    <s v="â‚¬85,860 - â‚¬150,249"/>
    <s v="['pytorch', 'spark', 'aws', 'r', 'python', 'scala', 'java', 'sql', 'machine learning', 'gcp', 'deep learning', 'azure', 'tensorflow', 'tableau']"/>
    <x v="10"/>
    <n v="118054.5"/>
  </r>
  <r>
    <x v="0"/>
    <x v="1"/>
    <s v="Unknown"/>
    <s v="company_268"/>
    <x v="99"/>
    <s v="20 days ago"/>
    <x v="75"/>
    <x v="3"/>
    <s v="Public"/>
    <n v="30840"/>
    <s v="Public"/>
    <s v="â‚¬67,039"/>
    <s v="['spark', 'git', 'python', 'sql', 'machine learning', 'hadoop', 'deep learning']"/>
    <x v="12"/>
    <n v="67039"/>
  </r>
  <r>
    <x v="1"/>
    <x v="0"/>
    <s v="on-site"/>
    <s v="company_883"/>
    <x v="385"/>
    <s v="19 days ago"/>
    <x v="170"/>
    <x v="2"/>
    <s v="Public"/>
    <n v="117760"/>
    <s v="â‚¬104.21B"/>
    <s v="â‚¬114,169 - â‚¬127,869"/>
    <s v="['pytorch', 'machine learning', 'database', 'deep learning', 'tensorflow']"/>
    <x v="7"/>
    <n v="121019"/>
  </r>
  <r>
    <x v="0"/>
    <x v="0"/>
    <s v="on-site"/>
    <s v="company_134"/>
    <x v="386"/>
    <s v="11 days ago"/>
    <x v="23"/>
    <x v="0"/>
    <s v="Public"/>
    <n v="865476"/>
    <s v="â‚¬832.76B"/>
    <s v="â‚¬149,803 - â‚¬168,061"/>
    <s v="['amazon', 'aws', 'r', 'python', 'sql', 'machine learning', 'tableau']"/>
    <x v="17"/>
    <n v="158932"/>
  </r>
  <r>
    <x v="0"/>
    <x v="0"/>
    <s v="hybrid"/>
    <s v="company_357"/>
    <x v="387"/>
    <s v="6 days ago"/>
    <x v="99"/>
    <x v="2"/>
    <s v="Public"/>
    <n v="132040"/>
    <s v="â‚¬142.23B"/>
    <s v="â‚¬73,984"/>
    <s v="['pandas', 'numpy', 'pytorch', 'spark', 'r', 'python', 'java', 'sklearn', 'sql', 'machine learning', 'keras', 'deep learning', 'matplotlib', 'tensorflow', 'tableau']"/>
    <x v="6"/>
    <n v="73984"/>
  </r>
  <r>
    <x v="0"/>
    <x v="0"/>
    <s v="Unknown"/>
    <s v="company_931"/>
    <x v="14"/>
    <s v="13 days ago"/>
    <x v="23"/>
    <x v="2"/>
    <s v="Public"/>
    <n v="26090"/>
    <s v="Public"/>
    <s v="â‚¬32,733"/>
    <s v="['sql', 'tableau', 'python']"/>
    <x v="9"/>
    <n v="32733"/>
  </r>
  <r>
    <x v="0"/>
    <x v="0"/>
    <s v="remote"/>
    <s v="company_236"/>
    <x v="261"/>
    <s v="14 days ago"/>
    <x v="68"/>
    <x v="2"/>
    <s v="Private"/>
    <n v="30"/>
    <s v="Private"/>
    <s v="â‚¬137,004 - â‚¬155,270"/>
    <s v="['sql', 'machine learning', 'tableau', 'python']"/>
    <x v="8"/>
    <n v="146137"/>
  </r>
  <r>
    <x v="0"/>
    <x v="0"/>
    <s v="on-site"/>
    <s v="company_233"/>
    <x v="351"/>
    <s v="a month ago"/>
    <x v="66"/>
    <x v="2"/>
    <s v="Public"/>
    <n v="27410"/>
    <s v="Public"/>
    <s v="â‚¬95,587 - â‚¬172,786"/>
    <s v="['amazon', 'aws', 'git', 'r', 'python', 'docker', 'sql', 'kubernetes', 'hadoop']"/>
    <x v="2"/>
    <n v="134186.5"/>
  </r>
  <r>
    <x v="0"/>
    <x v="4"/>
    <s v="on-site"/>
    <s v="company_316"/>
    <x v="352"/>
    <s v="7 days ago"/>
    <x v="88"/>
    <x v="5"/>
    <s v="Public"/>
    <n v="37950"/>
    <s v="Public"/>
    <s v="â‚¬18,199"/>
    <s v="['spark', 'python', 'sql', 'machine learning', 'deep learning']"/>
    <x v="10"/>
    <n v="18199"/>
  </r>
  <r>
    <x v="0"/>
    <x v="0"/>
    <s v="Unknown"/>
    <s v="company_878"/>
    <x v="388"/>
    <s v="16 days ago"/>
    <x v="3"/>
    <x v="2"/>
    <s v="Public"/>
    <n v="21300"/>
    <s v="â‚¬144.67B"/>
    <s v="â‚¬29,932 - â‚¬37,411"/>
    <s v="['pandas', 'numpy', 'pytorch', 'spark', 'aws', 'python', 'scala', 'sql', 'hadoop', 'machine learning', 'keras', 'azure']"/>
    <x v="21"/>
    <n v="33671.5"/>
  </r>
  <r>
    <x v="0"/>
    <x v="0"/>
    <s v="hybrid"/>
    <s v="company_781"/>
    <x v="389"/>
    <s v="9 days ago"/>
    <x v="4"/>
    <x v="2"/>
    <s v="Public"/>
    <n v="96040"/>
    <s v="Public"/>
    <s v="â‚¬80,559"/>
    <s v="['pytorch', 'aws', 'python', 'sql', 'machine learning', 'hadoop', 'azure', 'tensorflow']"/>
    <x v="5"/>
    <n v="80559"/>
  </r>
  <r>
    <x v="0"/>
    <x v="0"/>
    <s v="on-site"/>
    <s v="company_021"/>
    <x v="4"/>
    <s v="2 days ago"/>
    <x v="9"/>
    <x v="2"/>
    <s v="Public"/>
    <n v="5570"/>
    <s v="â‚¬60.91B"/>
    <s v="â‚¬189,974"/>
    <s v="[]"/>
    <x v="13"/>
    <n v="189974"/>
  </r>
  <r>
    <x v="0"/>
    <x v="0"/>
    <s v="on-site"/>
    <s v="company_288"/>
    <x v="107"/>
    <s v="a month ago"/>
    <x v="66"/>
    <x v="2"/>
    <s v="Public"/>
    <n v="26040"/>
    <s v="â‚¬63.09B"/>
    <s v="â‚¬114,169"/>
    <s v="['aws', 'azure']"/>
    <x v="2"/>
    <n v="114169"/>
  </r>
  <r>
    <x v="0"/>
    <x v="4"/>
    <s v="remote"/>
    <s v="company_421"/>
    <x v="390"/>
    <s v="14 days ago"/>
    <x v="112"/>
    <x v="2"/>
    <s v="Unknown"/>
    <s v="Private"/>
    <s v="Not Mentioned"/>
    <s v="â‚¬25,216"/>
    <s v="['sql', 'machine learning', 'python']"/>
    <x v="8"/>
    <n v="25216"/>
  </r>
  <r>
    <x v="0"/>
    <x v="4"/>
    <s v="remote"/>
    <s v="company_421"/>
    <x v="391"/>
    <s v="14 days ago"/>
    <x v="112"/>
    <x v="2"/>
    <s v="Unknown"/>
    <s v="Private"/>
    <s v="Not Mentioned"/>
    <s v="â‚¬25,212"/>
    <s v="['sql', 'machine learning', 'python']"/>
    <x v="8"/>
    <n v="25212"/>
  </r>
  <r>
    <x v="0"/>
    <x v="0"/>
    <s v="hybrid"/>
    <s v="company_983"/>
    <x v="392"/>
    <s v="14 days ago"/>
    <x v="107"/>
    <x v="2"/>
    <s v="Public"/>
    <n v="27020"/>
    <s v="Public"/>
    <s v="â‚¬90,425 - â‚¬205,504"/>
    <s v="['pandas', 'numpy', 'pytorch', 'spark', 'aws', 'scikit-learn', 'python', 'docker', 'java', 'machine learning', 'gcp', 'kubernetes', 'hadoop', 'azure', 'matplotlib', 'tensorflow']"/>
    <x v="8"/>
    <n v="147964.5"/>
  </r>
  <r>
    <x v="0"/>
    <x v="1"/>
    <s v="Unknown"/>
    <s v="company_366"/>
    <x v="106"/>
    <s v="6 days ago"/>
    <x v="101"/>
    <x v="2"/>
    <s v="Private"/>
    <n v="180"/>
    <s v="Private"/>
    <s v="â‚¬19,776"/>
    <s v="['pandas', 'numpy', 'aws', 'r', 'python', 'machine learning', 'gcp', 'azure']"/>
    <x v="6"/>
    <n v="19776"/>
  </r>
  <r>
    <x v="0"/>
    <x v="0"/>
    <s v="on-site"/>
    <s v="company_992"/>
    <x v="20"/>
    <s v="7 days ago"/>
    <x v="192"/>
    <x v="2"/>
    <s v="Public"/>
    <n v="6040"/>
    <s v="â‚¬27.92B"/>
    <s v="â‚¬184,128 - â‚¬240,389"/>
    <s v="['tableau', 'sql', 'r', 'python']"/>
    <x v="10"/>
    <n v="212258.5"/>
  </r>
  <r>
    <x v="0"/>
    <x v="0"/>
    <s v="on-site"/>
    <s v="company_917"/>
    <x v="113"/>
    <s v="14 days ago"/>
    <x v="46"/>
    <x v="2"/>
    <s v="Public"/>
    <n v="258800"/>
    <s v="â‚¬1.29T"/>
    <s v="â‚¬167,139 - â‚¬247,512"/>
    <s v="['sql', 'r', 'python']"/>
    <x v="8"/>
    <n v="207325.5"/>
  </r>
  <r>
    <x v="0"/>
    <x v="0"/>
    <s v="hybrid"/>
    <s v="company_008"/>
    <x v="379"/>
    <s v="21 days ago"/>
    <x v="3"/>
    <x v="2"/>
    <s v="Public"/>
    <n v="34640"/>
    <s v="â‚¬81.66B"/>
    <s v="â‚¬33,313 - â‚¬42,993"/>
    <s v="['r', 'python', 'sql', 'gcp', 'machine learning']"/>
    <x v="18"/>
    <n v="38153"/>
  </r>
  <r>
    <x v="0"/>
    <x v="0"/>
    <s v="Unknown"/>
    <s v="company_375"/>
    <x v="99"/>
    <s v="2 months ago"/>
    <x v="75"/>
    <x v="2"/>
    <s v="Public"/>
    <n v="36090"/>
    <s v="Public"/>
    <s v="â‚¬104,650 - â‚¬128,175"/>
    <s v="['pytorch', 'python', 'scala', 'machine learning', 'deep learning', 'tensorflow']"/>
    <x v="13"/>
    <n v="116412.5"/>
  </r>
  <r>
    <x v="0"/>
    <x v="0"/>
    <s v="on-site"/>
    <s v="company_366"/>
    <x v="106"/>
    <s v="4 days ago"/>
    <x v="101"/>
    <x v="2"/>
    <s v="Private"/>
    <n v="180"/>
    <s v="Private"/>
    <s v="â‚¬19,777"/>
    <s v="['pandas', 'numpy', 'aws', 'r', 'python', 'machine learning', 'gcp', 'azure']"/>
    <x v="16"/>
    <n v="19777"/>
  </r>
  <r>
    <x v="0"/>
    <x v="3"/>
    <s v="Unknown"/>
    <s v="company_269"/>
    <x v="393"/>
    <s v="23 days ago"/>
    <x v="10"/>
    <x v="3"/>
    <s v="Public"/>
    <n v="274250"/>
    <s v="â‚¬276.77B"/>
    <s v="â‚¬132,436 - â‚¬146,136"/>
    <s v="['machine learning', 'matplotlib', 'python']"/>
    <x v="22"/>
    <n v="139286"/>
  </r>
  <r>
    <x v="0"/>
    <x v="0"/>
    <s v="Unknown"/>
    <s v="company_250"/>
    <x v="5"/>
    <s v="3 months ago"/>
    <x v="71"/>
    <x v="5"/>
    <s v="Private"/>
    <n v="76030"/>
    <s v="Private"/>
    <s v="â‚¬66,122 - â‚¬99,997"/>
    <s v="['pandas', 'numpy', 'aws', 'scikit-learn', 'python', 'machine learning', 'azure']"/>
    <x v="4"/>
    <n v="83059.5"/>
  </r>
  <r>
    <x v="0"/>
    <x v="0"/>
    <s v="on-site"/>
    <s v="company_288"/>
    <x v="394"/>
    <s v="a month ago"/>
    <x v="66"/>
    <x v="2"/>
    <s v="Public"/>
    <n v="26030"/>
    <s v="â‚¬62.74B"/>
    <s v="â‚¬114,169"/>
    <s v="['pytorch', 'aws', 'r', 'python', 'scikit-learn', 'sql', 'machine learning', 'tensorflow', 'tableau']"/>
    <x v="2"/>
    <n v="114169"/>
  </r>
  <r>
    <x v="0"/>
    <x v="0"/>
    <s v="hybrid"/>
    <s v="company_081"/>
    <x v="35"/>
    <s v="7 days ago"/>
    <x v="9"/>
    <x v="2"/>
    <s v="Public"/>
    <n v="5030"/>
    <s v="â‚¬4.72B"/>
    <s v="â‚¬135,177 - â‚¬168,970"/>
    <s v="[]"/>
    <x v="10"/>
    <n v="152073.5"/>
  </r>
  <r>
    <x v="0"/>
    <x v="4"/>
    <s v="hybrid"/>
    <s v="company_008"/>
    <x v="395"/>
    <s v="7 days ago"/>
    <x v="3"/>
    <x v="2"/>
    <s v="Public"/>
    <n v="34640"/>
    <s v="â‚¬81.81B"/>
    <s v="â‚¬24,064 - â‚¬45,170"/>
    <s v="['pytorch', 'scikit-learn', 'python', 'machine learning', 'tensorflow']"/>
    <x v="10"/>
    <n v="34617"/>
  </r>
  <r>
    <x v="1"/>
    <x v="0"/>
    <s v="on-site"/>
    <s v="company_156"/>
    <x v="63"/>
    <s v="7 days ago"/>
    <x v="46"/>
    <x v="2"/>
    <s v="Private"/>
    <n v="900"/>
    <s v="â‚¬8.10B"/>
    <s v="â‚¬167,893 - â‚¬252,056"/>
    <s v="[]"/>
    <x v="10"/>
    <n v="209974.5"/>
  </r>
  <r>
    <x v="0"/>
    <x v="0"/>
    <s v="on-site"/>
    <s v="company_980"/>
    <x v="14"/>
    <s v="2 months ago"/>
    <x v="110"/>
    <x v="0"/>
    <s v="Public"/>
    <n v="409050"/>
    <s v="â‚¬66.89B"/>
    <s v="â‚¬31,213 - â‚¬58,200"/>
    <s v="['spark', 'machine learning', 'python']"/>
    <x v="13"/>
    <n v="44706.5"/>
  </r>
  <r>
    <x v="1"/>
    <x v="3"/>
    <s v="on-site"/>
    <s v="company_881"/>
    <x v="323"/>
    <s v="14 days ago"/>
    <x v="195"/>
    <x v="2"/>
    <s v="Private"/>
    <n v="110010"/>
    <s v="â‚¬128.02B"/>
    <s v="â‚¬132,436 - â‚¬216,919"/>
    <s v="['pytorch', 'python', 'machine learning', 'deep learning', 'tensorflow']"/>
    <x v="8"/>
    <n v="174677.5"/>
  </r>
  <r>
    <x v="0"/>
    <x v="0"/>
    <s v="hybrid"/>
    <s v="company_083"/>
    <x v="396"/>
    <s v="3 months ago"/>
    <x v="137"/>
    <x v="2"/>
    <s v="Private"/>
    <n v="263560"/>
    <s v="â‚¬25.31B"/>
    <s v="â‚¬73,983"/>
    <s v="['pytorch', 'aws', 'scikit-learn', 'docker', 'deep learning', 'machine learning', 'kubernetes', 'keras', 'azure', 'tensorflow']"/>
    <x v="4"/>
    <n v="73983"/>
  </r>
  <r>
    <x v="0"/>
    <x v="0"/>
    <s v="Unknown"/>
    <s v="company_134"/>
    <x v="357"/>
    <s v="a month ago"/>
    <x v="23"/>
    <x v="0"/>
    <s v="Public"/>
    <n v="865456"/>
    <s v="â‚¬832.91B"/>
    <s v="â‚¬155,274 - â‚¬182,674"/>
    <s v="['amazon', 'r', 'python', 'sql', 'machine learning']"/>
    <x v="2"/>
    <n v="168974"/>
  </r>
  <r>
    <x v="0"/>
    <x v="0"/>
    <s v="hybrid"/>
    <s v="company_183"/>
    <x v="188"/>
    <s v="7 days ago"/>
    <x v="57"/>
    <x v="2"/>
    <s v="Private"/>
    <n v="3800"/>
    <s v="Private"/>
    <s v="â‚¬98,643"/>
    <s v="['sql', 'r', 'python']"/>
    <x v="10"/>
    <n v="98643"/>
  </r>
  <r>
    <x v="0"/>
    <x v="0"/>
    <s v="on-site"/>
    <s v="company_291"/>
    <x v="9"/>
    <s v="16 days ago"/>
    <x v="19"/>
    <x v="2"/>
    <s v="Public"/>
    <n v="261010"/>
    <s v="â‚¬71.23B"/>
    <s v="â‚¬85,861 - â‚¬150,250"/>
    <s v="['pytorch', 'spark', 'aws', 'r', 'python', 'scala', 'java', 'sql', 'machine learning', 'gcp', 'deep learning', 'azure', 'tensorflow', 'tableau']"/>
    <x v="21"/>
    <n v="118055.5"/>
  </r>
  <r>
    <x v="0"/>
    <x v="0"/>
    <s v="on-site"/>
    <s v="company_308"/>
    <x v="113"/>
    <s v="14 days ago"/>
    <x v="84"/>
    <x v="2"/>
    <s v="Public"/>
    <n v="182308"/>
    <s v="â‚¬1.73T"/>
    <s v="â‚¬144,680 - â‚¬235,647"/>
    <s v="['sql', 'python']"/>
    <x v="8"/>
    <n v="190163.5"/>
  </r>
  <r>
    <x v="0"/>
    <x v="0"/>
    <s v="Unknown"/>
    <s v="company_270"/>
    <x v="164"/>
    <s v="2 months ago"/>
    <x v="76"/>
    <x v="5"/>
    <s v="Public"/>
    <n v="300050"/>
    <s v="â‚¬121.17B"/>
    <s v="â‚¬131,703 - â‚¬263,405"/>
    <s v="['aws', 'python', 'sql', 'machine learning', 'gcp', 'azure']"/>
    <x v="13"/>
    <n v="197554"/>
  </r>
  <r>
    <x v="0"/>
    <x v="0"/>
    <s v="remote"/>
    <s v="company_038"/>
    <x v="291"/>
    <s v="7 days ago"/>
    <x v="15"/>
    <x v="2"/>
    <s v="Public"/>
    <n v="132000"/>
    <s v="â‚¬17.41B"/>
    <s v="â‚¬52,506"/>
    <s v="['spark', 'scikit-learn', 'python', 'scala', 'java', 'machine learning', 'keras', 'deep learning', 'tensorflow']"/>
    <x v="10"/>
    <n v="52506"/>
  </r>
  <r>
    <x v="0"/>
    <x v="0"/>
    <s v="Unknown"/>
    <s v="company_993"/>
    <x v="50"/>
    <s v="11 days ago"/>
    <x v="193"/>
    <x v="2"/>
    <s v="Private"/>
    <n v="590"/>
    <s v="Private"/>
    <s v="â‚¬23,239"/>
    <s v="['aws', 'scikit-learn', 'python', 'machine learning', 'gcp', 'keras', 'deep learning', 'tensorflow']"/>
    <x v="17"/>
    <n v="23239"/>
  </r>
  <r>
    <x v="0"/>
    <x v="2"/>
    <s v="remote"/>
    <s v="company_169"/>
    <x v="8"/>
    <s v="2 days ago"/>
    <x v="9"/>
    <x v="2"/>
    <s v="Public"/>
    <n v="4110"/>
    <s v="â‚¬7.79B"/>
    <s v="â‚¬158,829 - â‚¬178,648"/>
    <s v="[]"/>
    <x v="13"/>
    <n v="168738.5"/>
  </r>
  <r>
    <x v="0"/>
    <x v="0"/>
    <s v="hybrid"/>
    <s v="company_008"/>
    <x v="49"/>
    <s v="8 days ago"/>
    <x v="3"/>
    <x v="2"/>
    <s v="Public"/>
    <n v="34680"/>
    <s v="â‚¬82.45B"/>
    <s v="â‚¬33,111 - â‚¬47,625"/>
    <s v="[]"/>
    <x v="3"/>
    <n v="40368"/>
  </r>
  <r>
    <x v="0"/>
    <x v="4"/>
    <s v="hybrid"/>
    <s v="company_983"/>
    <x v="397"/>
    <s v="8 days ago"/>
    <x v="107"/>
    <x v="2"/>
    <s v="Public"/>
    <n v="27010"/>
    <s v="Public"/>
    <s v="â‚¬71,394 - â‚¬161,915"/>
    <s v="['aws', 'machine learning', 'python']"/>
    <x v="3"/>
    <n v="116654.5"/>
  </r>
  <r>
    <x v="0"/>
    <x v="4"/>
    <s v="on-site"/>
    <s v="company_395"/>
    <x v="398"/>
    <s v="a month ago"/>
    <x v="107"/>
    <x v="0"/>
    <s v="Public"/>
    <n v="55090"/>
    <s v="â‚¬36.49B"/>
    <s v="â‚¬159,156 - â‚¬181,602"/>
    <s v="['spark', 'aws', 'r', 'python', 'scala', 'sql', 'machine learning', 'database', 'deep learning']"/>
    <x v="2"/>
    <n v="170379"/>
  </r>
  <r>
    <x v="0"/>
    <x v="0"/>
    <s v="on-site"/>
    <s v="company_003"/>
    <x v="399"/>
    <s v="18 days ago"/>
    <x v="0"/>
    <x v="0"/>
    <s v="Public"/>
    <s v="â‚¬354.99B"/>
    <s v="Public"/>
    <s v="â‚¬82,797 - â‚¬165,590"/>
    <s v="['spark', 'r', 'python', 'scala', 'sql', 'machine learning', 'tensorflow']"/>
    <x v="23"/>
    <n v="124193.5"/>
  </r>
  <r>
    <x v="1"/>
    <x v="0"/>
    <s v="Unknown"/>
    <s v="company_941"/>
    <x v="14"/>
    <s v="8 days ago"/>
    <x v="182"/>
    <x v="2"/>
    <s v="Public"/>
    <n v="492205"/>
    <s v="â‚¬154.06B"/>
    <s v="â‚¬20,441"/>
    <s v="['aws', 'gcp', 'azure']"/>
    <x v="3"/>
    <n v="20441"/>
  </r>
  <r>
    <x v="0"/>
    <x v="0"/>
    <s v="hybrid"/>
    <s v="company_008"/>
    <x v="400"/>
    <s v="3 months ago"/>
    <x v="3"/>
    <x v="2"/>
    <s v="Public"/>
    <n v="34690"/>
    <s v="â‚¬82.10B"/>
    <s v="â‚¬113,614 - â‚¬195,810"/>
    <s v="['hadoop', 'sql']"/>
    <x v="4"/>
    <n v="154712"/>
  </r>
  <r>
    <x v="0"/>
    <x v="4"/>
    <s v="hybrid"/>
    <s v="company_983"/>
    <x v="300"/>
    <s v="6 days ago"/>
    <x v="107"/>
    <x v="2"/>
    <s v="Public"/>
    <n v="27030"/>
    <s v="Public"/>
    <s v="â‚¬71,396 - â‚¬161,917"/>
    <s v="['linux', 'machine learning', 'r', 'python']"/>
    <x v="6"/>
    <n v="116656.5"/>
  </r>
  <r>
    <x v="0"/>
    <x v="0"/>
    <s v="on-site"/>
    <s v="company_003"/>
    <x v="324"/>
    <s v="17 days ago"/>
    <x v="0"/>
    <x v="0"/>
    <s v="Public"/>
    <s v="â‚¬354.99B"/>
    <s v="Public"/>
    <s v="â‚¬107,637 - â‚¬215,269"/>
    <s v="['numpy', 'pytorch', 'spark', 'r', 'python', 'scikit-learn', 'scala', 'bash', 'java', 'sql', 'machine learning', 'gcp', 'deep learning', 'matplotlib', 'tensorflow']"/>
    <x v="0"/>
    <n v="161453"/>
  </r>
  <r>
    <x v="0"/>
    <x v="0"/>
    <s v="on-site"/>
    <s v="company_003"/>
    <x v="324"/>
    <s v="17 days ago"/>
    <x v="0"/>
    <x v="0"/>
    <s v="Public"/>
    <s v="â‚¬354.99B"/>
    <s v="Public"/>
    <s v="â‚¬131,555 - â‚¬263,105"/>
    <s v="['numpy', 'pytorch', 'spark', 'r', 'python', 'scikit-learn', 'scala', 'bash', 'java', 'sql', 'machine learning', 'gcp', 'deep learning', 'matplotlib', 'tensorflow']"/>
    <x v="0"/>
    <n v="197330"/>
  </r>
  <r>
    <x v="0"/>
    <x v="4"/>
    <s v="on-site"/>
    <s v="company_917"/>
    <x v="401"/>
    <s v="5 days ago"/>
    <x v="46"/>
    <x v="2"/>
    <s v="Public"/>
    <n v="258780"/>
    <s v="â‚¬1.45T"/>
    <s v="â‚¬152,711 - â‚¬224,466"/>
    <s v="['sql', 'r', 'python']"/>
    <x v="15"/>
    <n v="188588.5"/>
  </r>
  <r>
    <x v="0"/>
    <x v="0"/>
    <s v="on-site"/>
    <s v="company_134"/>
    <x v="402"/>
    <s v="18 days ago"/>
    <x v="23"/>
    <x v="0"/>
    <s v="Public"/>
    <n v="865436"/>
    <s v="â‚¬839.03B"/>
    <s v="â‚¬160,991"/>
    <s v="['amazon', 'r', 'python', 'sql', 'tableau']"/>
    <x v="23"/>
    <n v="160991"/>
  </r>
  <r>
    <x v="0"/>
    <x v="0"/>
    <s v="on-site"/>
    <s v="company_134"/>
    <x v="403"/>
    <s v="a month ago"/>
    <x v="23"/>
    <x v="0"/>
    <s v="Public"/>
    <n v="865466"/>
    <s v="â‚¬838.83B"/>
    <s v="â‚¬150,883 - â‚¬178,472"/>
    <s v="['amazon', 'aws', 'r', 'python', 'sql', 'machine learning', 'tableau']"/>
    <x v="2"/>
    <n v="164677.5"/>
  </r>
  <r>
    <x v="1"/>
    <x v="4"/>
    <s v="Unknown"/>
    <s v="company_941"/>
    <x v="14"/>
    <s v="15 days ago"/>
    <x v="182"/>
    <x v="2"/>
    <s v="Public"/>
    <n v="492195"/>
    <s v="â‚¬154.41B"/>
    <s v="â‚¬10,605 - â‚¬26,380"/>
    <s v="['sql', 'python']"/>
    <x v="1"/>
    <n v="18492.5"/>
  </r>
  <r>
    <x v="0"/>
    <x v="0"/>
    <s v="on-site"/>
    <s v="company_003"/>
    <x v="324"/>
    <s v="7 days ago"/>
    <x v="0"/>
    <x v="0"/>
    <s v="Public"/>
    <s v="â‚¬354.99B"/>
    <s v="Public"/>
    <s v="â‚¬107,641 - â‚¬215,273"/>
    <s v="['pytorch', 'spark', 'r', 'python', 'scala', 'machine learning', 'tensorflow']"/>
    <x v="10"/>
    <n v="161457"/>
  </r>
  <r>
    <x v="0"/>
    <x v="0"/>
    <s v="hybrid"/>
    <s v="company_983"/>
    <x v="37"/>
    <s v="a day ago"/>
    <x v="107"/>
    <x v="2"/>
    <s v="Public"/>
    <n v="27060"/>
    <s v="Public"/>
    <s v="â‚¬91,081 - â‚¬206,992"/>
    <s v="['spark', 'python', 'sql', 'hadoop', 'machine learning']"/>
    <x v="2"/>
    <n v="149036.5"/>
  </r>
  <r>
    <x v="0"/>
    <x v="4"/>
    <s v="hybrid"/>
    <s v="company_395"/>
    <x v="404"/>
    <s v="14 days ago"/>
    <x v="107"/>
    <x v="0"/>
    <s v="Public"/>
    <n v="55110"/>
    <s v="â‚¬36.64B"/>
    <s v="â‚¬145,905 - â‚¬166,511"/>
    <s v="['spark', 'aws', 'r', 'python', 'scala', 'sql', 'machine learning', 'database', 'deep learning']"/>
    <x v="8"/>
    <n v="156208"/>
  </r>
  <r>
    <x v="0"/>
    <x v="0"/>
    <s v="hybrid"/>
    <s v="company_008"/>
    <x v="117"/>
    <s v="a month ago"/>
    <x v="3"/>
    <x v="2"/>
    <s v="Public"/>
    <n v="34670"/>
    <s v="â‚¬82.45B"/>
    <s v="â‚¬140,294 - â‚¬241,349"/>
    <s v="[]"/>
    <x v="2"/>
    <n v="190821.5"/>
  </r>
  <r>
    <x v="0"/>
    <x v="0"/>
    <s v="on-site"/>
    <s v="company_917"/>
    <x v="405"/>
    <s v="15 days ago"/>
    <x v="46"/>
    <x v="2"/>
    <s v="Public"/>
    <n v="258790"/>
    <s v="â‚¬1.20T"/>
    <s v="â‚¬208,832 - â‚¬294,386"/>
    <s v="['sql', 'r', 'python']"/>
    <x v="1"/>
    <n v="251609"/>
  </r>
  <r>
    <x v="0"/>
    <x v="1"/>
    <s v="on-site"/>
    <s v="company_244"/>
    <x v="406"/>
    <s v="a month ago"/>
    <x v="5"/>
    <x v="3"/>
    <s v="Public"/>
    <n v="290790"/>
    <s v="â‚¬352.75B"/>
    <s v="â‚¬137,997"/>
    <s v="['spark', 'aws', 'r', 'python', 'scikit-learn', 'sql', 'machine learning']"/>
    <x v="2"/>
    <n v="137997"/>
  </r>
  <r>
    <x v="0"/>
    <x v="0"/>
    <s v="Unknown"/>
    <s v="company_134"/>
    <x v="14"/>
    <s v="21 days ago"/>
    <x v="23"/>
    <x v="0"/>
    <s v="Public"/>
    <n v="865416"/>
    <s v="â‚¬838.78B"/>
    <s v="â‚¬29,758 - â‚¬110,330"/>
    <s v="['amazon', 'r', 'python', 'sql', 'machine learning']"/>
    <x v="18"/>
    <n v="70044"/>
  </r>
  <r>
    <x v="0"/>
    <x v="4"/>
    <s v="on-site"/>
    <s v="company_395"/>
    <x v="407"/>
    <s v="a month ago"/>
    <x v="107"/>
    <x v="0"/>
    <s v="Public"/>
    <n v="55130"/>
    <s v="â‚¬36.34B"/>
    <s v="â‚¬159,150 - â‚¬181,596"/>
    <s v="['spark', 'aws', 'r', 'python', 'scala', 'sql', 'machine learning', 'database', 'deep learning']"/>
    <x v="2"/>
    <n v="170373"/>
  </r>
  <r>
    <x v="0"/>
    <x v="0"/>
    <s v="Unknown"/>
    <s v="company_844"/>
    <x v="9"/>
    <s v="a month ago"/>
    <x v="46"/>
    <x v="2"/>
    <s v="Public"/>
    <n v="17050"/>
    <s v="â‚¬95.37B"/>
    <s v="â‚¬174,789"/>
    <s v="['tableau', 'sql', 'r', 'python']"/>
    <x v="2"/>
    <n v="174789"/>
  </r>
  <r>
    <x v="0"/>
    <x v="0"/>
    <s v="Unknown"/>
    <s v="company_083"/>
    <x v="352"/>
    <s v="a month ago"/>
    <x v="137"/>
    <x v="2"/>
    <s v="Private"/>
    <n v="263610"/>
    <s v="â‚¬25.44B"/>
    <s v="â‚¬4,082 - â‚¬10,125"/>
    <s v="['git', 'r', 'python', 'linux', 'sql', 'tableau']"/>
    <x v="2"/>
    <n v="7103.5"/>
  </r>
  <r>
    <x v="0"/>
    <x v="0"/>
    <s v="on-site"/>
    <s v="company_941"/>
    <x v="110"/>
    <s v="25 days ago"/>
    <x v="182"/>
    <x v="2"/>
    <s v="Public"/>
    <n v="492255"/>
    <s v="â‚¬154.26B"/>
    <s v="â‚¬129,163 - â‚¬244,062"/>
    <s v="['machine learning', 'python']"/>
    <x v="11"/>
    <n v="186612.5"/>
  </r>
  <r>
    <x v="0"/>
    <x v="1"/>
    <s v="on-site"/>
    <s v="company_273"/>
    <x v="130"/>
    <s v="12 days ago"/>
    <x v="7"/>
    <x v="2"/>
    <s v="Public"/>
    <n v="94570"/>
    <s v="â‚¬232.09B"/>
    <s v="â‚¬189,513 - â‚¬258,507"/>
    <s v="['sql', 'machine learning', 'r', 'python']"/>
    <x v="14"/>
    <n v="224010"/>
  </r>
  <r>
    <x v="0"/>
    <x v="1"/>
    <s v="Unknown"/>
    <s v="company_244"/>
    <x v="287"/>
    <s v="8 days ago"/>
    <x v="5"/>
    <x v="3"/>
    <s v="Public"/>
    <n v="290800"/>
    <s v="â‚¬352.90B"/>
    <s v="â‚¬116,803"/>
    <s v="['deep learning', 'python']"/>
    <x v="3"/>
    <n v="116803"/>
  </r>
  <r>
    <x v="0"/>
    <x v="0"/>
    <s v="on-site"/>
    <s v="company_003"/>
    <x v="336"/>
    <s v="15 days ago"/>
    <x v="0"/>
    <x v="0"/>
    <s v="Public"/>
    <s v="â‚¬354.99B"/>
    <s v="Public"/>
    <s v="â‚¬101,194 - â‚¬202,387"/>
    <s v="['pytorch', 'spark', 'r', 'python', 'scala', 'opencv', 'machine learning', 'deep learning', 'tensorflow']"/>
    <x v="1"/>
    <n v="151790.5"/>
  </r>
  <r>
    <x v="0"/>
    <x v="0"/>
    <s v="Unknown"/>
    <s v="company_844"/>
    <x v="113"/>
    <s v="15 days ago"/>
    <x v="46"/>
    <x v="2"/>
    <s v="Public"/>
    <n v="17030"/>
    <s v="â‚¬95.17B"/>
    <s v="â‚¬170,195"/>
    <s v="['pandas', 'numpy', 'git', 'scikit-learn', 'python', 'linux', 'sql', 'machine learning', 'tableau']"/>
    <x v="1"/>
    <n v="170195"/>
  </r>
  <r>
    <x v="0"/>
    <x v="0"/>
    <s v="Unknown"/>
    <s v="company_134"/>
    <x v="106"/>
    <s v="a month ago"/>
    <x v="23"/>
    <x v="0"/>
    <s v="Public"/>
    <n v="865476"/>
    <s v="â‚¬838.73B"/>
    <s v="â‚¬44,815 - â‚¬99,272"/>
    <s v="['amazon', 'aws', 'r', 'python', 'scala', 'sql', 'machine learning', 'tableau']"/>
    <x v="2"/>
    <n v="72043.5"/>
  </r>
  <r>
    <x v="0"/>
    <x v="1"/>
    <s v="on-site"/>
    <s v="company_273"/>
    <x v="30"/>
    <s v="5 days ago"/>
    <x v="7"/>
    <x v="2"/>
    <s v="Public"/>
    <n v="94580"/>
    <s v="â‚¬231.89B"/>
    <s v="â‚¬232,749 - â‚¬288,865"/>
    <s v="['machine learning']"/>
    <x v="15"/>
    <n v="260807"/>
  </r>
  <r>
    <x v="1"/>
    <x v="0"/>
    <s v="Unknown"/>
    <s v="company_941"/>
    <x v="14"/>
    <s v="8 days ago"/>
    <x v="182"/>
    <x v="2"/>
    <s v="Public"/>
    <n v="492215"/>
    <s v="â‚¬154.11B"/>
    <s v="â‚¬20,445"/>
    <s v="['aws', 'gcp', 'azure']"/>
    <x v="3"/>
    <n v="20445"/>
  </r>
  <r>
    <x v="0"/>
    <x v="0"/>
    <s v="hybrid"/>
    <s v="company_003"/>
    <x v="408"/>
    <s v="15 days ago"/>
    <x v="0"/>
    <x v="0"/>
    <s v="Public"/>
    <s v="â‚¬354.99B"/>
    <s v="Public"/>
    <s v="â‚¬143,514 - â‚¬287,023"/>
    <s v="['pytorch', 'aws', 'python', 'docker', 'machine learning', 'gcp', 'kubernetes', 'azure', 'tensorflow']"/>
    <x v="1"/>
    <n v="215268.5"/>
  </r>
  <r>
    <x v="1"/>
    <x v="3"/>
    <s v="on-site"/>
    <s v="company_881"/>
    <x v="323"/>
    <s v="14 days ago"/>
    <x v="195"/>
    <x v="2"/>
    <s v="Private"/>
    <n v="110050"/>
    <s v="â‚¬129.19B"/>
    <s v="â‚¬126,724 - â‚¬218,487"/>
    <s v="['pytorch', 'python', 'neural network', 'machine learning', 'deep learning', 'tensorflow']"/>
    <x v="8"/>
    <n v="172605.5"/>
  </r>
  <r>
    <x v="0"/>
    <x v="0"/>
    <s v="on-site"/>
    <s v="company_134"/>
    <x v="409"/>
    <s v="25 days ago"/>
    <x v="23"/>
    <x v="0"/>
    <s v="Public"/>
    <n v="865466"/>
    <s v="â‚¬839.03B"/>
    <s v="â‚¬160,994 - â‚¬178,472"/>
    <s v="['amazon', 'aws', 'r', 'python', 'scala', 'sql', 'machine learning', 'tableau']"/>
    <x v="11"/>
    <n v="169733"/>
  </r>
  <r>
    <x v="0"/>
    <x v="4"/>
    <s v="on-site"/>
    <s v="company_395"/>
    <x v="5"/>
    <s v="a month ago"/>
    <x v="107"/>
    <x v="0"/>
    <s v="Public"/>
    <n v="55090"/>
    <s v="â‚¬36.49B"/>
    <s v="â‚¬159,157 - â‚¬181,603"/>
    <s v="['spark', 'aws', 'r', 'python', 'scala', 'sql', 'machine learning', 'database', 'deep learning']"/>
    <x v="2"/>
    <n v="170380"/>
  </r>
  <r>
    <x v="0"/>
    <x v="4"/>
    <s v="on-site"/>
    <s v="company_273"/>
    <x v="410"/>
    <s v="19 days ago"/>
    <x v="7"/>
    <x v="2"/>
    <s v="Public"/>
    <n v="94570"/>
    <s v="â‚¬231.94B"/>
    <s v="â‚¬159,153 - â‚¬222,628"/>
    <s v="['sql', 'machine learning', 'r', 'python']"/>
    <x v="7"/>
    <n v="190890.5"/>
  </r>
  <r>
    <x v="0"/>
    <x v="0"/>
    <s v="on-site"/>
    <s v="company_134"/>
    <x v="36"/>
    <s v="a month ago"/>
    <x v="23"/>
    <x v="0"/>
    <s v="Public"/>
    <n v="865476"/>
    <s v="â‚¬838.83B"/>
    <s v="â‚¬119,600 - â‚¬220,792"/>
    <s v="['amazon', 'aws', 'r', 'python', 'sql', 'machine learning']"/>
    <x v="2"/>
    <n v="170196"/>
  </r>
  <r>
    <x v="0"/>
    <x v="0"/>
    <s v="on-site"/>
    <s v="company_134"/>
    <x v="411"/>
    <s v="11 days ago"/>
    <x v="23"/>
    <x v="0"/>
    <s v="Public"/>
    <n v="865446"/>
    <s v="â‚¬839.08B"/>
    <s v="â‚¬118,676 - â‚¬220,788"/>
    <s v="['amazon', 'spark', 'r', 'python', 'sql', 'hadoop']"/>
    <x v="17"/>
    <n v="169732"/>
  </r>
  <r>
    <x v="1"/>
    <x v="4"/>
    <s v="Unknown"/>
    <s v="company_941"/>
    <x v="14"/>
    <s v="15 days ago"/>
    <x v="182"/>
    <x v="2"/>
    <s v="Public"/>
    <n v="492255"/>
    <s v="â‚¬154.41B"/>
    <s v="â‚¬10,605 - â‚¬26,380"/>
    <s v="['sql', 'python']"/>
    <x v="1"/>
    <n v="18492.5"/>
  </r>
  <r>
    <x v="0"/>
    <x v="0"/>
    <s v="hybrid"/>
    <s v="company_008"/>
    <x v="49"/>
    <s v="8 days ago"/>
    <x v="3"/>
    <x v="2"/>
    <s v="Public"/>
    <n v="34670"/>
    <s v="â‚¬82.20B"/>
    <s v="â‚¬33,117 - â‚¬47,631"/>
    <s v="[]"/>
    <x v="3"/>
    <n v="40374"/>
  </r>
  <r>
    <x v="1"/>
    <x v="4"/>
    <s v="Unknown"/>
    <s v="company_941"/>
    <x v="14"/>
    <s v="15 days ago"/>
    <x v="182"/>
    <x v="2"/>
    <s v="Public"/>
    <n v="492215"/>
    <s v="â‚¬154.16B"/>
    <s v="â‚¬10,602 - â‚¬26,377"/>
    <s v="['pytorch', 'aws', 'python', 'docker', 'machine learning', 'azure', 'tensorflow']"/>
    <x v="1"/>
    <n v="18489.5"/>
  </r>
  <r>
    <x v="0"/>
    <x v="4"/>
    <s v="on-site"/>
    <s v="company_134"/>
    <x v="36"/>
    <s v="24 days ago"/>
    <x v="23"/>
    <x v="0"/>
    <s v="Public"/>
    <n v="865436"/>
    <s v="â‚¬838.98B"/>
    <s v="â‚¬110,400 - â‚¬220,791"/>
    <s v="['amazon', 'r', 'python', 'sql', 'machine learning']"/>
    <x v="24"/>
    <n v="165595.5"/>
  </r>
  <r>
    <x v="0"/>
    <x v="0"/>
    <s v="hybrid"/>
    <s v="company_008"/>
    <x v="412"/>
    <s v="2 months ago"/>
    <x v="3"/>
    <x v="2"/>
    <s v="Public"/>
    <n v="34660"/>
    <s v="â‚¬82.25B"/>
    <s v="â‚¬104,879 - â‚¬211,591"/>
    <s v="['sql', 'powerbi', 'tableau', 'python']"/>
    <x v="13"/>
    <n v="158235"/>
  </r>
  <r>
    <x v="0"/>
    <x v="0"/>
    <s v="on-site"/>
    <s v="company_917"/>
    <x v="113"/>
    <s v="5 days ago"/>
    <x v="46"/>
    <x v="2"/>
    <s v="Public"/>
    <n v="258770"/>
    <s v="â‚¬1.40T"/>
    <s v="â‚¬129,716 - â‚¬185,832"/>
    <s v="['sql', 'r', 'python']"/>
    <x v="15"/>
    <n v="157774"/>
  </r>
  <r>
    <x v="1"/>
    <x v="4"/>
    <s v="on-site"/>
    <s v="company_244"/>
    <x v="413"/>
    <s v="a month ago"/>
    <x v="5"/>
    <x v="3"/>
    <s v="Public"/>
    <n v="290770"/>
    <s v="â‚¬352.55B"/>
    <s v="â‚¬131,552"/>
    <s v="['pandas', 'numpy', 'pytorch', 'scikit-learn', 'machine learning', 'deep learning', 'tensorflow']"/>
    <x v="2"/>
    <n v="131552"/>
  </r>
  <r>
    <x v="0"/>
    <x v="1"/>
    <s v="Unknown"/>
    <s v="company_244"/>
    <x v="414"/>
    <s v="a month ago"/>
    <x v="5"/>
    <x v="3"/>
    <s v="Public"/>
    <n v="290770"/>
    <s v="â‚¬352.85B"/>
    <s v="â‚¬54,950"/>
    <s v="['pytorch', 'machine learning', 'tensorflow', 'python']"/>
    <x v="2"/>
    <n v="54950"/>
  </r>
  <r>
    <x v="0"/>
    <x v="0"/>
    <s v="Unknown"/>
    <s v="company_171"/>
    <x v="415"/>
    <s v="22 days ago"/>
    <x v="52"/>
    <x v="2"/>
    <s v="Public"/>
    <n v="524628"/>
    <s v="â‚¬120.24B"/>
    <s v="â‚¬33,283 - â‚¬53,075"/>
    <s v="['docker', 'kubernetes', 'java']"/>
    <x v="20"/>
    <n v="43179"/>
  </r>
  <r>
    <x v="1"/>
    <x v="0"/>
    <s v="Unknown"/>
    <s v="company_941"/>
    <x v="14"/>
    <s v="8 days ago"/>
    <x v="182"/>
    <x v="2"/>
    <s v="Public"/>
    <n v="492225"/>
    <s v="â‚¬154.11B"/>
    <s v="â‚¬20,445"/>
    <s v="['aws', 'gcp', 'azure']"/>
    <x v="3"/>
    <n v="20445"/>
  </r>
  <r>
    <x v="0"/>
    <x v="1"/>
    <s v="on-site"/>
    <s v="company_244"/>
    <x v="355"/>
    <s v="21 days ago"/>
    <x v="5"/>
    <x v="3"/>
    <s v="Public"/>
    <n v="290760"/>
    <s v="â‚¬352.90B"/>
    <s v="â‚¬165,589"/>
    <s v="['machine learning', 'r', 'python']"/>
    <x v="18"/>
    <n v="165589"/>
  </r>
  <r>
    <x v="0"/>
    <x v="0"/>
    <s v="hybrid"/>
    <s v="company_003"/>
    <x v="139"/>
    <s v="15 days ago"/>
    <x v="0"/>
    <x v="0"/>
    <s v="Public"/>
    <s v="â‚¬354.99B"/>
    <s v="Public"/>
    <s v="â‚¬183,991"/>
    <s v="['spark', 'r', 'python', 'scala', 'sql', 'machine learning', 'tensorflow']"/>
    <x v="1"/>
    <n v="183991"/>
  </r>
  <r>
    <x v="0"/>
    <x v="4"/>
    <s v="on-site"/>
    <s v="company_134"/>
    <x v="416"/>
    <s v="a month ago"/>
    <x v="23"/>
    <x v="0"/>
    <s v="Public"/>
    <n v="865416"/>
    <s v="â‚¬839.03B"/>
    <s v="â‚¬122,355 - â‚¬220,787"/>
    <s v="['amazon', 'python', 'sql', 'hadoop', 'machine learning']"/>
    <x v="2"/>
    <n v="171571"/>
  </r>
  <r>
    <x v="1"/>
    <x v="4"/>
    <s v="Unknown"/>
    <s v="company_941"/>
    <x v="14"/>
    <s v="19 days ago"/>
    <x v="182"/>
    <x v="2"/>
    <s v="Public"/>
    <n v="492235"/>
    <s v="â‚¬154.36B"/>
    <s v="â‚¬10,604 - â‚¬26,379"/>
    <s v="['machine learning']"/>
    <x v="7"/>
    <n v="18491.5"/>
  </r>
  <r>
    <x v="0"/>
    <x v="0"/>
    <s v="on-site"/>
    <s v="company_917"/>
    <x v="115"/>
    <s v="8 days ago"/>
    <x v="46"/>
    <x v="2"/>
    <s v="Public"/>
    <n v="258760"/>
    <s v="â‚¬1.50T"/>
    <s v="â‚¬112,544"/>
    <s v="['sql', 'r', 'python']"/>
    <x v="3"/>
    <n v="112544"/>
  </r>
  <r>
    <x v="0"/>
    <x v="0"/>
    <s v="on-site"/>
    <s v="company_003"/>
    <x v="324"/>
    <s v="17 days ago"/>
    <x v="0"/>
    <x v="0"/>
    <s v="Public"/>
    <s v="â‚¬354.99B"/>
    <s v="Public"/>
    <s v="â‚¬131,557 - â‚¬263,107"/>
    <s v="['spark', 'r', 'python', 'scala', 'sql', 'machine learning', 'tensorflow']"/>
    <x v="0"/>
    <n v="197332"/>
  </r>
  <r>
    <x v="0"/>
    <x v="4"/>
    <s v="on-site"/>
    <s v="company_917"/>
    <x v="113"/>
    <s v="7 days ago"/>
    <x v="46"/>
    <x v="2"/>
    <s v="Public"/>
    <n v="258810"/>
    <s v="â‚¬1.20T"/>
    <s v="â‚¬129,712 - â‚¬185,828"/>
    <s v="['sql', 'r', 'python']"/>
    <x v="10"/>
    <n v="157770"/>
  </r>
  <r>
    <x v="3"/>
    <x v="0"/>
    <s v="on-site"/>
    <s v="company_134"/>
    <x v="36"/>
    <s v="3 months ago"/>
    <x v="23"/>
    <x v="0"/>
    <s v="Public"/>
    <n v="865476"/>
    <s v="â‚¬839.08B"/>
    <s v="â‚¬119,600 - â‚¬220,792"/>
    <s v="['amazon', 'aws']"/>
    <x v="4"/>
    <n v="170196"/>
  </r>
  <r>
    <x v="0"/>
    <x v="1"/>
    <s v="Unknown"/>
    <s v="company_244"/>
    <x v="287"/>
    <s v="19 days ago"/>
    <x v="5"/>
    <x v="3"/>
    <s v="Public"/>
    <n v="290750"/>
    <s v="â‚¬352.75B"/>
    <s v="â‚¬92,773 - â‚¬146,026"/>
    <s v="[]"/>
    <x v="7"/>
    <n v="119399.5"/>
  </r>
  <r>
    <x v="0"/>
    <x v="1"/>
    <s v="on-site"/>
    <s v="company_273"/>
    <x v="7"/>
    <s v="12 days ago"/>
    <x v="7"/>
    <x v="2"/>
    <s v="Public"/>
    <n v="94580"/>
    <s v="â‚¬231.89B"/>
    <s v="â‚¬189,510 - â‚¬258,504"/>
    <s v="['sql', 'machine learning', 'r', 'python']"/>
    <x v="14"/>
    <n v="224007"/>
  </r>
  <r>
    <x v="0"/>
    <x v="4"/>
    <s v="on-site"/>
    <s v="company_395"/>
    <x v="131"/>
    <s v="17 days ago"/>
    <x v="107"/>
    <x v="0"/>
    <s v="Public"/>
    <n v="55090"/>
    <s v="â‚¬36.34B"/>
    <s v="â‚¬159,154 - â‚¬181,600"/>
    <s v="['spark', 'aws', 'r', 'python', 'scala', 'sql', 'machine learning', 'database', 'deep learning']"/>
    <x v="0"/>
    <n v="170377"/>
  </r>
  <r>
    <x v="0"/>
    <x v="1"/>
    <s v="on-site"/>
    <s v="company_395"/>
    <x v="5"/>
    <s v="21 days ago"/>
    <x v="107"/>
    <x v="0"/>
    <s v="Public"/>
    <n v="55150"/>
    <s v="â‚¬36.34B"/>
    <s v="â‚¬264,761 - â‚¬302,202"/>
    <s v="['aws', 'r', 'python', 'scala', 'machine learning', 'database', 'deep learning']"/>
    <x v="18"/>
    <n v="283481.5"/>
  </r>
  <r>
    <x v="0"/>
    <x v="0"/>
    <s v="on-site"/>
    <s v="company_273"/>
    <x v="410"/>
    <s v="a month ago"/>
    <x v="7"/>
    <x v="2"/>
    <s v="Public"/>
    <n v="94560"/>
    <s v="â‚¬231.94B"/>
    <s v="â‚¬159,157 - â‚¬222,632"/>
    <s v="['sql', 'machine learning', 'r', 'python']"/>
    <x v="2"/>
    <n v="190894.5"/>
  </r>
  <r>
    <x v="0"/>
    <x v="0"/>
    <s v="Unknown"/>
    <s v="company_844"/>
    <x v="33"/>
    <s v="22 days ago"/>
    <x v="46"/>
    <x v="2"/>
    <s v="Public"/>
    <n v="17030"/>
    <s v="â‚¬95.22B"/>
    <s v="â‚¬163,752"/>
    <s v="['r', 'python', 'sql', 'machine learning', 'tableau']"/>
    <x v="20"/>
    <n v="163752"/>
  </r>
  <r>
    <x v="0"/>
    <x v="0"/>
    <s v="on-site"/>
    <s v="company_134"/>
    <x v="417"/>
    <s v="a month ago"/>
    <x v="23"/>
    <x v="0"/>
    <s v="Public"/>
    <n v="865416"/>
    <s v="â‚¬839.08B"/>
    <s v="â‚¬156,391"/>
    <s v="['amazon', 'r', 'python', 'sql', 'machine learning']"/>
    <x v="2"/>
    <n v="156391"/>
  </r>
  <r>
    <x v="0"/>
    <x v="1"/>
    <s v="on-site"/>
    <s v="company_395"/>
    <x v="5"/>
    <s v="a month ago"/>
    <x v="107"/>
    <x v="0"/>
    <s v="Public"/>
    <n v="55140"/>
    <s v="â‚¬36.44B"/>
    <s v="â‚¬194,110 - â‚¬221,524"/>
    <s v="['spark', 'aws', 'r', 'python', 'scala', 'sql', 'machine learning', 'database', 'deep learning']"/>
    <x v="2"/>
    <n v="207817"/>
  </r>
  <r>
    <x v="0"/>
    <x v="0"/>
    <s v="Unknown"/>
    <s v="company_171"/>
    <x v="106"/>
    <s v="15 days ago"/>
    <x v="52"/>
    <x v="2"/>
    <s v="Public"/>
    <n v="524568"/>
    <s v="â‚¬120.34B"/>
    <s v="â‚¬27,474 - â‚¬53,079"/>
    <s v="['database', 'machine learning', 'java']"/>
    <x v="1"/>
    <n v="40276.5"/>
  </r>
  <r>
    <x v="0"/>
    <x v="0"/>
    <s v="hybrid"/>
    <s v="company_983"/>
    <x v="337"/>
    <s v="4 days ago"/>
    <x v="107"/>
    <x v="2"/>
    <s v="Public"/>
    <n v="27010"/>
    <s v="Public"/>
    <s v="â‚¬91,075 - â‚¬206,986"/>
    <s v="['spark', 'r', 'python', 'sql', 'hadoop', 'machine learning']"/>
    <x v="16"/>
    <n v="149030.5"/>
  </r>
  <r>
    <x v="0"/>
    <x v="0"/>
    <s v="Unknown"/>
    <s v="company_844"/>
    <x v="33"/>
    <s v="9 days ago"/>
    <x v="46"/>
    <x v="2"/>
    <s v="Public"/>
    <n v="17050"/>
    <s v="â‚¬95.27B"/>
    <s v="â‚¬163,754"/>
    <s v="['r', 'python', 'sql', 'machine learning', 'tableau']"/>
    <x v="5"/>
    <n v="163754"/>
  </r>
  <r>
    <x v="0"/>
    <x v="0"/>
    <s v="on-site"/>
    <s v="company_134"/>
    <x v="418"/>
    <s v="a month ago"/>
    <x v="23"/>
    <x v="0"/>
    <s v="Public"/>
    <n v="865416"/>
    <s v="â‚¬838.73B"/>
    <s v="â‚¬110,396 - â‚¬220,787"/>
    <s v="['amazon', 'aws', 'r', 'python', 'sql', 'machine learning']"/>
    <x v="2"/>
    <n v="165591.5"/>
  </r>
  <r>
    <x v="0"/>
    <x v="1"/>
    <s v="on-site"/>
    <s v="company_244"/>
    <x v="366"/>
    <s v="11 days ago"/>
    <x v="5"/>
    <x v="3"/>
    <s v="Public"/>
    <n v="290780"/>
    <s v="â‚¬352.70B"/>
    <s v="â‚¬137,996"/>
    <s v="['pandas', 'numpy', 'pytorch', 'spark', 'aws', 'scikit-learn', 'python', 'sql', 'keras', 'machine learning', 'tensorflow']"/>
    <x v="17"/>
    <n v="137996"/>
  </r>
  <r>
    <x v="0"/>
    <x v="4"/>
    <s v="on-site"/>
    <s v="company_273"/>
    <x v="5"/>
    <s v="a month ago"/>
    <x v="7"/>
    <x v="2"/>
    <s v="Public"/>
    <n v="94560"/>
    <s v="â‚¬232.14B"/>
    <s v="â‚¬133,392 - â‚¬187,668"/>
    <s v="['sql', 'machine learning', 'r', 'python']"/>
    <x v="2"/>
    <n v="160530"/>
  </r>
  <r>
    <x v="1"/>
    <x v="0"/>
    <s v="Unknown"/>
    <s v="company_941"/>
    <x v="14"/>
    <s v="8 days ago"/>
    <x v="182"/>
    <x v="2"/>
    <s v="Public"/>
    <n v="492215"/>
    <s v="â‚¬154.16B"/>
    <s v="â‚¬20,440"/>
    <s v="['aws', 'gcp', 'azure']"/>
    <x v="3"/>
    <n v="20440"/>
  </r>
  <r>
    <x v="0"/>
    <x v="0"/>
    <s v="on-site"/>
    <s v="company_134"/>
    <x v="419"/>
    <s v="8 days ago"/>
    <x v="23"/>
    <x v="0"/>
    <s v="Public"/>
    <n v="865466"/>
    <s v="â‚¬838.88B"/>
    <s v="â‚¬110,393 - â‚¬220,784"/>
    <s v="['amazon', 'spark', 'r', 'python', 'sql', 'hadoop', 'machine learning']"/>
    <x v="3"/>
    <n v="165588.5"/>
  </r>
  <r>
    <x v="0"/>
    <x v="0"/>
    <s v="on-site"/>
    <s v="company_917"/>
    <x v="113"/>
    <s v="5 days ago"/>
    <x v="46"/>
    <x v="2"/>
    <s v="Public"/>
    <n v="258810"/>
    <s v="â‚¬1.45T"/>
    <s v="â‚¬208,825 - â‚¬294,379"/>
    <s v="['sql', 'r', 'python']"/>
    <x v="15"/>
    <n v="251602"/>
  </r>
  <r>
    <x v="0"/>
    <x v="0"/>
    <s v="on-site"/>
    <s v="company_395"/>
    <x v="323"/>
    <s v="13 days ago"/>
    <x v="107"/>
    <x v="0"/>
    <s v="Public"/>
    <n v="55110"/>
    <s v="â‚¬36.49B"/>
    <s v="â‚¬133,489 - â‚¬152,347"/>
    <s v="['pytorch', 'aws', 'r', 'python', 'scala', 'sql', 'database', 'machine learning']"/>
    <x v="9"/>
    <n v="142918"/>
  </r>
  <r>
    <x v="0"/>
    <x v="4"/>
    <s v="hybrid"/>
    <s v="company_008"/>
    <x v="190"/>
    <s v="2 months ago"/>
    <x v="3"/>
    <x v="2"/>
    <s v="Public"/>
    <n v="34650"/>
    <s v="â‚¬82.45B"/>
    <s v="â‚¬113,614 - â‚¬195,810"/>
    <s v="['r', 'python', 'sql', 'machine learning', 'tableau']"/>
    <x v="13"/>
    <n v="154712"/>
  </r>
  <r>
    <x v="0"/>
    <x v="0"/>
    <s v="on-site"/>
    <s v="company_134"/>
    <x v="420"/>
    <s v="8 days ago"/>
    <x v="23"/>
    <x v="0"/>
    <s v="Public"/>
    <n v="865466"/>
    <s v="â‚¬838.88B"/>
    <s v="â‚¬118,677 - â‚¬220,789"/>
    <s v="['amazon', 'r', 'python', 'scala', 'sql', 'machine learning']"/>
    <x v="3"/>
    <n v="169733"/>
  </r>
  <r>
    <x v="0"/>
    <x v="0"/>
    <s v="on-site"/>
    <s v="company_273"/>
    <x v="130"/>
    <s v="7 days ago"/>
    <x v="7"/>
    <x v="2"/>
    <s v="Public"/>
    <n v="94590"/>
    <s v="â‚¬231.94B"/>
    <s v="â‚¬133,394 - â‚¬187,670"/>
    <s v="['spark', 'powerbi', 'r', 'python', 'sql', 'machine learning', 'tableau']"/>
    <x v="10"/>
    <n v="160532"/>
  </r>
  <r>
    <x v="0"/>
    <x v="0"/>
    <s v="Unknown"/>
    <s v="company_917"/>
    <x v="14"/>
    <s v="23 days ago"/>
    <x v="46"/>
    <x v="2"/>
    <s v="Public"/>
    <n v="258810"/>
    <s v="â‚¬1.45T"/>
    <s v="â‚¬42,805"/>
    <s v="['sql', 'r', 'python']"/>
    <x v="22"/>
    <n v="42805"/>
  </r>
  <r>
    <x v="0"/>
    <x v="4"/>
    <s v="Unknown"/>
    <s v="company_244"/>
    <x v="287"/>
    <s v="7 days ago"/>
    <x v="5"/>
    <x v="3"/>
    <s v="Public"/>
    <n v="290800"/>
    <s v="â‚¬352.70B"/>
    <s v="â‚¬97,625"/>
    <s v="['sql', 'machine learning', 'python']"/>
    <x v="10"/>
    <n v="97625"/>
  </r>
  <r>
    <x v="0"/>
    <x v="0"/>
    <s v="Unknown"/>
    <s v="company_844"/>
    <x v="5"/>
    <s v="8 days ago"/>
    <x v="46"/>
    <x v="2"/>
    <s v="Public"/>
    <n v="17030"/>
    <s v="â‚¬95.07B"/>
    <s v="â‚¬170,193"/>
    <s v="['tableau', 'sql', 'r', 'python']"/>
    <x v="3"/>
    <n v="170193"/>
  </r>
  <r>
    <x v="0"/>
    <x v="0"/>
    <s v="on-site"/>
    <s v="company_003"/>
    <x v="336"/>
    <s v="17 days ago"/>
    <x v="0"/>
    <x v="0"/>
    <s v="Public"/>
    <s v="â‚¬354.99B"/>
    <s v="Public"/>
    <s v="â‚¬131,559 - â‚¬263,109"/>
    <s v="['pytorch', 'spark', 'r', 'python', 'scala', 'machine learning', 'azure', 'tensorflow']"/>
    <x v="0"/>
    <n v="197334"/>
  </r>
  <r>
    <x v="0"/>
    <x v="0"/>
    <s v="on-site"/>
    <s v="company_003"/>
    <x v="324"/>
    <s v="19 days ago"/>
    <x v="0"/>
    <x v="0"/>
    <s v="Public"/>
    <s v="â‚¬354.99B"/>
    <s v="Public"/>
    <s v="â‚¬107,640 - â‚¬215,272"/>
    <s v="['numpy', 'pytorch', 'spark', 'r', 'python', 'scikit-learn', 'scala', 'bash', 'java', 'sql', 'machine learning', 'gcp', 'deep learning', 'matplotlib', 'tensorflow']"/>
    <x v="7"/>
    <n v="161456"/>
  </r>
  <r>
    <x v="0"/>
    <x v="3"/>
    <s v="on-site"/>
    <s v="company_030"/>
    <x v="421"/>
    <s v="6 days ago"/>
    <x v="196"/>
    <x v="2"/>
    <s v="Public"/>
    <n v="49540"/>
    <s v="Public"/>
    <s v="â‚¬22,087"/>
    <s v="['spark', 'aws', 'python', 'sql', 'machine learning', 'gcp', 'azure']"/>
    <x v="6"/>
    <n v="22087"/>
  </r>
  <r>
    <x v="0"/>
    <x v="1"/>
    <s v="on-site"/>
    <s v="company_917"/>
    <x v="422"/>
    <s v="8 days ago"/>
    <x v="46"/>
    <x v="2"/>
    <s v="Public"/>
    <n v="258770"/>
    <s v="â‚¬1.20T"/>
    <s v="â‚¬181,232 - â‚¬267,706"/>
    <s v="['sql', 'r', 'python']"/>
    <x v="3"/>
    <n v="224469"/>
  </r>
  <r>
    <x v="1"/>
    <x v="0"/>
    <s v="hybrid"/>
    <s v="company_008"/>
    <x v="117"/>
    <s v="a month ago"/>
    <x v="3"/>
    <x v="2"/>
    <s v="Public"/>
    <n v="34630"/>
    <s v="â‚¬82.10B"/>
    <s v="â‚¬172,950 - â‚¬298,014"/>
    <s v="['pytorch', 'python', 'sql', 'machine learning', 'gcp', 'hadoop', 'deep learning', 'tensorflow']"/>
    <x v="2"/>
    <n v="235482"/>
  </r>
  <r>
    <x v="0"/>
    <x v="0"/>
    <s v="on-site"/>
    <s v="company_003"/>
    <x v="336"/>
    <s v="18 days ago"/>
    <x v="0"/>
    <x v="0"/>
    <s v="Public"/>
    <s v="â‚¬354.99B"/>
    <s v="Public"/>
    <s v="â‚¬101,193 - â‚¬202,386"/>
    <s v="['pytorch', 'spark', 'r', 'python', 'scala', 'neural network', 'machine learning', 'deep learning', 'tensorflow']"/>
    <x v="23"/>
    <n v="151789.5"/>
  </r>
  <r>
    <x v="0"/>
    <x v="1"/>
    <s v="on-site"/>
    <s v="company_273"/>
    <x v="130"/>
    <s v="19 days ago"/>
    <x v="7"/>
    <x v="2"/>
    <s v="Public"/>
    <n v="94590"/>
    <s v="â‚¬232.19B"/>
    <s v="â‚¬232,745 - â‚¬288,861"/>
    <s v="['machine learning']"/>
    <x v="7"/>
    <n v="260803"/>
  </r>
  <r>
    <x v="0"/>
    <x v="0"/>
    <s v="on-site"/>
    <s v="company_917"/>
    <x v="113"/>
    <s v="15 days ago"/>
    <x v="46"/>
    <x v="2"/>
    <s v="Public"/>
    <n v="258810"/>
    <s v="â‚¬1.35T"/>
    <s v="â‚¬181,229 - â‚¬267,703"/>
    <s v="['sql', 'r', 'python']"/>
    <x v="1"/>
    <n v="224466"/>
  </r>
  <r>
    <x v="0"/>
    <x v="4"/>
    <s v="on-site"/>
    <s v="company_134"/>
    <x v="36"/>
    <s v="2 days ago"/>
    <x v="23"/>
    <x v="0"/>
    <s v="Public"/>
    <n v="865446"/>
    <s v="â‚¬839.08B"/>
    <s v="â‚¬110,401 - â‚¬220,792"/>
    <s v="['amazon', 'r', 'python', 'sql', 'machine learning']"/>
    <x v="13"/>
    <n v="165596.5"/>
  </r>
  <r>
    <x v="0"/>
    <x v="0"/>
    <s v="on-site"/>
    <s v="company_917"/>
    <x v="113"/>
    <s v="5 days ago"/>
    <x v="46"/>
    <x v="2"/>
    <s v="Public"/>
    <n v="258820"/>
    <s v="â‚¬1.45T"/>
    <s v="â‚¬168,348 - â‚¬249,302"/>
    <s v="['sql', 'r', 'python']"/>
    <x v="15"/>
    <n v="208825"/>
  </r>
  <r>
    <x v="1"/>
    <x v="4"/>
    <s v="Unknown"/>
    <s v="company_941"/>
    <x v="14"/>
    <s v="22 days ago"/>
    <x v="182"/>
    <x v="2"/>
    <s v="Public"/>
    <n v="492205"/>
    <s v="â‚¬154.11B"/>
    <s v="â‚¬10,603 - â‚¬26,378"/>
    <s v="['machine learning']"/>
    <x v="20"/>
    <n v="18490.5"/>
  </r>
  <r>
    <x v="0"/>
    <x v="0"/>
    <s v="remote"/>
    <s v="company_083"/>
    <x v="423"/>
    <s v="5 days ago"/>
    <x v="137"/>
    <x v="2"/>
    <s v="Private"/>
    <n v="263570"/>
    <s v="â‚¬25.49B"/>
    <s v="â‚¬60,795"/>
    <s v="['pandas', 'amazon', 'pytorch', 'aws', 'git', 'python', 'docker', 'sql', 'kubernetes', 'azure']"/>
    <x v="15"/>
    <n v="60795"/>
  </r>
  <r>
    <x v="0"/>
    <x v="0"/>
    <s v="on-site"/>
    <s v="company_395"/>
    <x v="323"/>
    <s v="16 days ago"/>
    <x v="107"/>
    <x v="0"/>
    <s v="Public"/>
    <n v="55130"/>
    <s v="â‚¬36.44B"/>
    <s v="â‚¬159,156 - â‚¬181,602"/>
    <s v="['pytorch', 'aws', 'r', 'python', 'scala', 'sql', 'database', 'machine learning']"/>
    <x v="21"/>
    <n v="170379"/>
  </r>
  <r>
    <x v="0"/>
    <x v="1"/>
    <s v="Unknown"/>
    <s v="company_291"/>
    <x v="424"/>
    <s v="4 days ago"/>
    <x v="19"/>
    <x v="2"/>
    <s v="Public"/>
    <n v="261030"/>
    <s v="â‚¬71.50B"/>
    <s v="â‚¬9,657"/>
    <s v="[]"/>
    <x v="16"/>
    <n v="9657"/>
  </r>
  <r>
    <x v="0"/>
    <x v="0"/>
    <s v="on-site"/>
    <s v="company_003"/>
    <x v="422"/>
    <s v="17 days ago"/>
    <x v="0"/>
    <x v="0"/>
    <s v="Public"/>
    <s v="â‚¬354.99B"/>
    <s v="Public"/>
    <s v="â‚¬131,556 - â‚¬263,106"/>
    <s v="['spark', 'r', 'python', 'scala', 'sql', 'machine learning', 'tensorflow']"/>
    <x v="0"/>
    <n v="197331"/>
  </r>
  <r>
    <x v="0"/>
    <x v="0"/>
    <s v="on-site"/>
    <s v="company_134"/>
    <x v="425"/>
    <s v="16 days ago"/>
    <x v="23"/>
    <x v="0"/>
    <s v="Public"/>
    <n v="865476"/>
    <s v="â‚¬838.83B"/>
    <s v="â‚¬156,392 - â‚¬178,470"/>
    <s v="['amazon', 'aws', 'r', 'python', 'sql', 'tableau']"/>
    <x v="21"/>
    <n v="167431"/>
  </r>
  <r>
    <x v="0"/>
    <x v="0"/>
    <s v="Unknown"/>
    <s v="company_083"/>
    <x v="426"/>
    <s v="4 months ago"/>
    <x v="137"/>
    <x v="2"/>
    <s v="Private"/>
    <n v="263580"/>
    <s v="â‚¬25.34B"/>
    <s v="â‚¬80,371 - â‚¬124,381"/>
    <s v="['r', 'python', 'sql', 'machine learning', 'azure']"/>
    <x v="16"/>
    <n v="102376"/>
  </r>
  <r>
    <x v="0"/>
    <x v="0"/>
    <s v="hybrid"/>
    <s v="company_008"/>
    <x v="117"/>
    <s v="a month ago"/>
    <x v="3"/>
    <x v="2"/>
    <s v="Public"/>
    <n v="34670"/>
    <s v="â‚¬82.20B"/>
    <s v="â‚¬113,612 - â‚¬195,808"/>
    <s v="['tableau', 'sql', 'r', 'python']"/>
    <x v="2"/>
    <n v="154710"/>
  </r>
  <r>
    <x v="0"/>
    <x v="0"/>
    <s v="on-site"/>
    <s v="company_917"/>
    <x v="427"/>
    <s v="20 days ago"/>
    <x v="46"/>
    <x v="2"/>
    <s v="Public"/>
    <n v="258790"/>
    <s v="â‚¬1.50T"/>
    <s v="â‚¬181,235 - â‚¬267,709"/>
    <s v="['sql', 'machine learning', 'r', 'python']"/>
    <x v="12"/>
    <n v="224472"/>
  </r>
  <r>
    <x v="0"/>
    <x v="0"/>
    <s v="on-site"/>
    <s v="company_134"/>
    <x v="428"/>
    <s v="7 days ago"/>
    <x v="23"/>
    <x v="0"/>
    <s v="Public"/>
    <n v="865426"/>
    <s v="â‚¬838.88B"/>
    <s v="â‚¬137,999 - â‚¬165,596"/>
    <s v="['amazon', 'r', 'python', 'scala', 'sql', 'machine learning']"/>
    <x v="10"/>
    <n v="151797.5"/>
  </r>
  <r>
    <x v="0"/>
    <x v="0"/>
    <s v="on-site"/>
    <s v="company_844"/>
    <x v="20"/>
    <s v="5 days ago"/>
    <x v="46"/>
    <x v="2"/>
    <s v="Public"/>
    <n v="17020"/>
    <s v="â‚¬95.27B"/>
    <s v="â‚¬164,672 - â‚¬171,572"/>
    <s v="['sql', 'machine learning', 'r', 'python']"/>
    <x v="15"/>
    <n v="168122"/>
  </r>
  <r>
    <x v="0"/>
    <x v="0"/>
    <s v="on-site"/>
    <s v="company_244"/>
    <x v="355"/>
    <s v="6 days ago"/>
    <x v="5"/>
    <x v="3"/>
    <s v="Public"/>
    <n v="290780"/>
    <s v="â‚¬352.80B"/>
    <s v="â‚¬133,114 - â‚¬193,194"/>
    <s v="['pandas', 'numpy', 'python', 'sql', 'machine learning', 'tableau']"/>
    <x v="6"/>
    <n v="163154"/>
  </r>
  <r>
    <x v="0"/>
    <x v="4"/>
    <s v="on-site"/>
    <s v="company_244"/>
    <x v="92"/>
    <s v="6 days ago"/>
    <x v="5"/>
    <x v="3"/>
    <s v="Public"/>
    <n v="290800"/>
    <s v="â‚¬352.60B"/>
    <s v="â‚¬124,196 - â‚¬197,790"/>
    <s v="['pytorch', 'spark', 'python', 'sql', 'keras', 'machine learning', 'tensorflow']"/>
    <x v="6"/>
    <n v="160993"/>
  </r>
  <r>
    <x v="3"/>
    <x v="0"/>
    <s v="Unknown"/>
    <s v="company_134"/>
    <x v="429"/>
    <s v="21 days ago"/>
    <x v="23"/>
    <x v="0"/>
    <s v="Public"/>
    <n v="865426"/>
    <s v="â‚¬838.83B"/>
    <s v="â‚¬95,034 - â‚¬158,785"/>
    <s v="['amazon', 'aws', 'python', 'scala', 'java', 'airflow', 'sql']"/>
    <x v="18"/>
    <n v="126909.5"/>
  </r>
  <r>
    <x v="0"/>
    <x v="4"/>
    <s v="on-site"/>
    <s v="company_273"/>
    <x v="130"/>
    <s v="19 days ago"/>
    <x v="7"/>
    <x v="2"/>
    <s v="Public"/>
    <n v="94580"/>
    <s v="â‚¬232.09B"/>
    <s v="â‚¬159,150 - â‚¬222,625"/>
    <s v="['sql', 'machine learning', 'r', 'python']"/>
    <x v="7"/>
    <n v="190887.5"/>
  </r>
  <r>
    <x v="0"/>
    <x v="0"/>
    <s v="on-site"/>
    <s v="company_003"/>
    <x v="324"/>
    <s v="17 days ago"/>
    <x v="0"/>
    <x v="0"/>
    <s v="Public"/>
    <s v="â‚¬354.99B"/>
    <s v="Public"/>
    <s v="â‚¬131,554 - â‚¬263,104"/>
    <s v="['spark', 'r', 'python', 'scala', 'sql', 'machine learning', 'tensorflow']"/>
    <x v="0"/>
    <n v="197329"/>
  </r>
  <r>
    <x v="1"/>
    <x v="0"/>
    <s v="on-site"/>
    <s v="company_134"/>
    <x v="36"/>
    <s v="6 days ago"/>
    <x v="23"/>
    <x v="0"/>
    <s v="Public"/>
    <n v="865436"/>
    <s v="â‚¬838.98B"/>
    <s v="â‚¬110,395 - â‚¬220,786"/>
    <s v="['amazon', 'machine learning']"/>
    <x v="6"/>
    <n v="165590.5"/>
  </r>
  <r>
    <x v="1"/>
    <x v="4"/>
    <s v="Unknown"/>
    <s v="company_941"/>
    <x v="415"/>
    <s v="21 days ago"/>
    <x v="182"/>
    <x v="2"/>
    <s v="Public"/>
    <n v="492245"/>
    <s v="â‚¬154.21B"/>
    <s v="â‚¬10,601 - â‚¬26,376"/>
    <s v="['machine learning']"/>
    <x v="18"/>
    <n v="18488.5"/>
  </r>
  <r>
    <x v="0"/>
    <x v="4"/>
    <s v="Unknown"/>
    <s v="company_881"/>
    <x v="99"/>
    <s v="a month ago"/>
    <x v="195"/>
    <x v="2"/>
    <s v="Private"/>
    <n v="110010"/>
    <s v="â‚¬129.04B"/>
    <s v="â‚¬57,958 - â‚¬103,129"/>
    <s v="['sql', 'machine learning', 'r', 'python']"/>
    <x v="2"/>
    <n v="80543.5"/>
  </r>
  <r>
    <x v="0"/>
    <x v="0"/>
    <s v="hybrid"/>
    <s v="company_003"/>
    <x v="299"/>
    <s v="18 days ago"/>
    <x v="0"/>
    <x v="0"/>
    <s v="Public"/>
    <s v="â‚¬354.99B"/>
    <s v="Public"/>
    <s v="â‚¬131,552 - â‚¬263,102"/>
    <s v="['pytorch', 'spark', 'r', 'python', 'scala', 'java', 'airflow', 'sql', 'machine learning', 'deep learning', 'keras', 'azure', 'tensorflow']"/>
    <x v="23"/>
    <n v="197327"/>
  </r>
  <r>
    <x v="0"/>
    <x v="0"/>
    <s v="Unknown"/>
    <s v="company_844"/>
    <x v="113"/>
    <s v="8 days ago"/>
    <x v="46"/>
    <x v="2"/>
    <s v="Public"/>
    <n v="17050"/>
    <s v="â‚¬95.37B"/>
    <s v="â‚¬170,195"/>
    <s v="['spark', 'r', 'python', 'sql', 'tableau']"/>
    <x v="3"/>
    <n v="170195"/>
  </r>
  <r>
    <x v="0"/>
    <x v="0"/>
    <s v="on-site"/>
    <s v="company_917"/>
    <x v="430"/>
    <s v="15 days ago"/>
    <x v="46"/>
    <x v="2"/>
    <s v="Public"/>
    <n v="258790"/>
    <s v="â‚¬1.15T"/>
    <s v="â‚¬129,711 - â‚¬185,827"/>
    <s v="['spark', 'r', 'python', 'sql', 'hadoop', 'machine learning']"/>
    <x v="1"/>
    <n v="157769"/>
  </r>
  <r>
    <x v="0"/>
    <x v="0"/>
    <s v="hybrid"/>
    <s v="company_008"/>
    <x v="49"/>
    <s v="8 days ago"/>
    <x v="3"/>
    <x v="2"/>
    <s v="Public"/>
    <n v="34650"/>
    <s v="â‚¬82.40B"/>
    <s v="â‚¬24,239 - â‚¬47,626"/>
    <s v="['sql', 'machine learning', 'python']"/>
    <x v="3"/>
    <n v="35932.5"/>
  </r>
  <r>
    <x v="0"/>
    <x v="0"/>
    <s v="Unknown"/>
    <s v="company_171"/>
    <x v="14"/>
    <s v="a day ago"/>
    <x v="52"/>
    <x v="2"/>
    <s v="Public"/>
    <n v="524598"/>
    <s v="â‚¬120.29B"/>
    <s v="â‚¬33,288 - â‚¬53,080"/>
    <s v="['pytorch', 'python', 'sql', 'machine learning', 'deep learning', 'tensorflow']"/>
    <x v="2"/>
    <n v="43184"/>
  </r>
  <r>
    <x v="1"/>
    <x v="0"/>
    <s v="Unknown"/>
    <s v="company_134"/>
    <x v="431"/>
    <s v="a month ago"/>
    <x v="23"/>
    <x v="0"/>
    <s v="Public"/>
    <n v="865456"/>
    <s v="â‚¬838.78B"/>
    <s v="â‚¬64,290"/>
    <s v="['amazon', 'machine learning']"/>
    <x v="2"/>
    <n v="64290"/>
  </r>
  <r>
    <x v="0"/>
    <x v="4"/>
    <s v="on-site"/>
    <s v="company_395"/>
    <x v="131"/>
    <s v="11 days ago"/>
    <x v="107"/>
    <x v="0"/>
    <s v="Public"/>
    <n v="55150"/>
    <s v="â‚¬36.29B"/>
    <s v="â‚¬145,904 - â‚¬166,510"/>
    <s v="['spark', 'aws', 'r', 'python', 'scala', 'sql', 'database', 'machine learning']"/>
    <x v="17"/>
    <n v="156207"/>
  </r>
  <r>
    <x v="0"/>
    <x v="4"/>
    <s v="on-site"/>
    <s v="company_395"/>
    <x v="5"/>
    <s v="17 days ago"/>
    <x v="107"/>
    <x v="0"/>
    <s v="Public"/>
    <n v="55110"/>
    <s v="â‚¬36.34B"/>
    <s v="â‚¬159,149 - â‚¬181,595"/>
    <s v="['spark', 'aws', 'r', 'python', 'scala', 'sql', 'machine learning', 'database', 'deep learning']"/>
    <x v="0"/>
    <n v="170372"/>
  </r>
  <r>
    <x v="0"/>
    <x v="0"/>
    <s v="on-site"/>
    <s v="company_844"/>
    <x v="33"/>
    <s v="8 days ago"/>
    <x v="46"/>
    <x v="2"/>
    <s v="Public"/>
    <n v="17040"/>
    <s v="â‚¬95.22B"/>
    <s v="â‚¬195,486 - â‚¬201,926"/>
    <s v="['r', 'python', 'scala', 'sql', 'machine learning', 'deep learning']"/>
    <x v="3"/>
    <n v="1987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E2690A-451E-4FFC-84F5-7EBFFA0336D9}"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1:L50" firstHeaderRow="1" firstDataRow="1" firstDataCol="1"/>
  <pivotFields count="15">
    <pivotField showAll="0"/>
    <pivotField showAll="0"/>
    <pivotField showAll="0"/>
    <pivotField showAll="0"/>
    <pivotField showAll="0"/>
    <pivotField showAll="0"/>
    <pivotField showAll="0"/>
    <pivotField axis="axisRow" showAll="0">
      <items count="9">
        <item x="4"/>
        <item x="6"/>
        <item x="3"/>
        <item x="5"/>
        <item x="7"/>
        <item x="1"/>
        <item x="0"/>
        <item x="2"/>
        <item t="default"/>
      </items>
    </pivotField>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8F8F15-32F0-4650-9E63-FECBF3D03932}"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1:B57"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26">
        <item x="13"/>
        <item x="4"/>
        <item x="16"/>
        <item x="15"/>
        <item x="6"/>
        <item x="10"/>
        <item x="3"/>
        <item x="5"/>
        <item x="19"/>
        <item x="17"/>
        <item x="14"/>
        <item x="9"/>
        <item x="8"/>
        <item x="1"/>
        <item x="21"/>
        <item x="0"/>
        <item x="23"/>
        <item x="7"/>
        <item x="12"/>
        <item x="18"/>
        <item x="20"/>
        <item x="22"/>
        <item x="24"/>
        <item x="11"/>
        <item x="2"/>
        <item t="default"/>
      </items>
    </pivotField>
    <pivotField showAll="0"/>
  </pivotFields>
  <rowFields count="1">
    <field x="13"/>
  </rowFields>
  <rowItems count="16">
    <i>
      <x v="7"/>
    </i>
    <i>
      <x v="8"/>
    </i>
    <i>
      <x v="9"/>
    </i>
    <i>
      <x v="10"/>
    </i>
    <i>
      <x v="11"/>
    </i>
    <i>
      <x v="14"/>
    </i>
    <i>
      <x v="15"/>
    </i>
    <i>
      <x v="16"/>
    </i>
    <i>
      <x v="17"/>
    </i>
    <i>
      <x v="18"/>
    </i>
    <i>
      <x v="19"/>
    </i>
    <i>
      <x v="20"/>
    </i>
    <i>
      <x v="21"/>
    </i>
    <i>
      <x v="22"/>
    </i>
    <i>
      <x v="23"/>
    </i>
    <i t="grand">
      <x/>
    </i>
  </rowItems>
  <colItems count="1">
    <i/>
  </colItems>
  <dataFields count="1">
    <dataField name="Count of job_title"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valueLessThan" evalOrder="-1" id="1" iMeasureFld="0">
      <autoFilter ref="A1">
        <filterColumn colId="0">
          <customFilters>
            <customFilter operator="lessThan" val="3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ED4956-6CCA-4B65-8244-2FE9C46F545A}"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0:M26" firstHeaderRow="1" firstDataRow="1" firstDataCol="1"/>
  <pivotFields count="15">
    <pivotField showAll="0"/>
    <pivotField axis="axisRow" showAll="0" sortType="descending">
      <items count="6">
        <item x="3"/>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v="1"/>
    </i>
    <i>
      <x v="4"/>
    </i>
    <i>
      <x v="3"/>
    </i>
    <i>
      <x v="2"/>
    </i>
    <i>
      <x/>
    </i>
    <i t="grand">
      <x/>
    </i>
  </rowItems>
  <colItems count="1">
    <i/>
  </colItems>
  <dataFields count="1">
    <dataField name="Average of salary_numeric" fld="14" subtotal="average" baseField="1"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FE8F96-61A2-427C-B64C-C6B9BC6DCFA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1:M12" firstHeaderRow="1" firstDataRow="1" firstDataCol="1"/>
  <pivotFields count="15">
    <pivotField showAll="0"/>
    <pivotField showAll="0"/>
    <pivotField showAll="0"/>
    <pivotField showAll="0"/>
    <pivotField axis="axisRow" dataField="1" showAll="0" measureFilter="1" sortType="descending">
      <items count="433">
        <item x="215"/>
        <item x="97"/>
        <item x="310"/>
        <item x="62"/>
        <item x="116"/>
        <item x="317"/>
        <item x="24"/>
        <item x="198"/>
        <item x="110"/>
        <item x="104"/>
        <item x="300"/>
        <item x="114"/>
        <item x="13"/>
        <item x="233"/>
        <item x="337"/>
        <item x="409"/>
        <item x="202"/>
        <item x="9"/>
        <item x="222"/>
        <item x="59"/>
        <item x="362"/>
        <item x="417"/>
        <item x="365"/>
        <item x="78"/>
        <item x="2"/>
        <item x="41"/>
        <item x="244"/>
        <item x="246"/>
        <item x="282"/>
        <item x="137"/>
        <item x="16"/>
        <item x="127"/>
        <item x="421"/>
        <item x="358"/>
        <item x="130"/>
        <item x="425"/>
        <item x="408"/>
        <item x="403"/>
        <item x="242"/>
        <item x="263"/>
        <item x="14"/>
        <item x="415"/>
        <item x="154"/>
        <item x="364"/>
        <item x="49"/>
        <item x="77"/>
        <item x="336"/>
        <item x="299"/>
        <item x="399"/>
        <item x="6"/>
        <item x="98"/>
        <item x="188"/>
        <item x="265"/>
        <item x="351"/>
        <item x="368"/>
        <item x="334"/>
        <item x="311"/>
        <item x="176"/>
        <item x="164"/>
        <item x="140"/>
        <item x="100"/>
        <item x="297"/>
        <item x="163"/>
        <item x="401"/>
        <item x="91"/>
        <item x="296"/>
        <item x="168"/>
        <item x="159"/>
        <item x="186"/>
        <item x="316"/>
        <item x="266"/>
        <item x="178"/>
        <item x="181"/>
        <item x="111"/>
        <item x="410"/>
        <item x="221"/>
        <item x="384"/>
        <item x="293"/>
        <item x="44"/>
        <item x="31"/>
        <item x="243"/>
        <item x="426"/>
        <item x="261"/>
        <item x="227"/>
        <item x="247"/>
        <item x="306"/>
        <item x="340"/>
        <item x="107"/>
        <item x="279"/>
        <item x="48"/>
        <item x="219"/>
        <item x="393"/>
        <item x="15"/>
        <item x="50"/>
        <item x="379"/>
        <item x="235"/>
        <item x="94"/>
        <item x="190"/>
        <item x="183"/>
        <item x="3"/>
        <item x="427"/>
        <item x="208"/>
        <item x="253"/>
        <item x="82"/>
        <item x="79"/>
        <item x="318"/>
        <item x="195"/>
        <item x="132"/>
        <item x="275"/>
        <item x="366"/>
        <item x="205"/>
        <item x="424"/>
        <item x="47"/>
        <item x="285"/>
        <item x="57"/>
        <item x="209"/>
        <item x="274"/>
        <item x="115"/>
        <item x="312"/>
        <item x="228"/>
        <item x="238"/>
        <item x="309"/>
        <item x="123"/>
        <item x="81"/>
        <item x="206"/>
        <item x="144"/>
        <item x="257"/>
        <item x="74"/>
        <item x="18"/>
        <item x="321"/>
        <item x="150"/>
        <item x="200"/>
        <item x="314"/>
        <item x="112"/>
        <item x="372"/>
        <item x="58"/>
        <item x="1"/>
        <item x="28"/>
        <item x="217"/>
        <item x="8"/>
        <item x="280"/>
        <item x="189"/>
        <item x="423"/>
        <item x="214"/>
        <item x="0"/>
        <item x="294"/>
        <item x="239"/>
        <item x="136"/>
        <item x="356"/>
        <item x="203"/>
        <item x="86"/>
        <item x="10"/>
        <item x="389"/>
        <item x="289"/>
        <item x="271"/>
        <item x="373"/>
        <item x="369"/>
        <item x="313"/>
        <item x="325"/>
        <item x="383"/>
        <item x="224"/>
        <item x="292"/>
        <item x="397"/>
        <item x="392"/>
        <item x="267"/>
        <item x="348"/>
        <item x="223"/>
        <item x="22"/>
        <item x="76"/>
        <item x="106"/>
        <item x="301"/>
        <item x="414"/>
        <item x="194"/>
        <item x="303"/>
        <item x="173"/>
        <item x="158"/>
        <item x="375"/>
        <item x="387"/>
        <item x="128"/>
        <item x="344"/>
        <item x="156"/>
        <item x="331"/>
        <item x="126"/>
        <item x="162"/>
        <item x="135"/>
        <item x="338"/>
        <item x="166"/>
        <item x="212"/>
        <item x="23"/>
        <item x="109"/>
        <item x="278"/>
        <item x="148"/>
        <item x="308"/>
        <item x="254"/>
        <item x="287"/>
        <item x="141"/>
        <item x="396"/>
        <item x="157"/>
        <item x="232"/>
        <item x="272"/>
        <item x="218"/>
        <item x="207"/>
        <item x="430"/>
        <item x="71"/>
        <item x="248"/>
        <item x="380"/>
        <item x="145"/>
        <item x="252"/>
        <item x="381"/>
        <item x="80"/>
        <item x="27"/>
        <item x="284"/>
        <item x="204"/>
        <item x="240"/>
        <item x="273"/>
        <item x="346"/>
        <item x="382"/>
        <item x="131"/>
        <item x="361"/>
        <item x="37"/>
        <item x="398"/>
        <item x="431"/>
        <item x="7"/>
        <item x="51"/>
        <item x="87"/>
        <item x="350"/>
        <item x="143"/>
        <item x="210"/>
        <item x="124"/>
        <item x="180"/>
        <item x="11"/>
        <item x="193"/>
        <item x="90"/>
        <item x="108"/>
        <item x="113"/>
        <item x="371"/>
        <item x="304"/>
        <item x="251"/>
        <item x="63"/>
        <item x="353"/>
        <item x="160"/>
        <item x="319"/>
        <item x="330"/>
        <item x="329"/>
        <item x="220"/>
        <item x="411"/>
        <item x="72"/>
        <item x="129"/>
        <item x="147"/>
        <item x="288"/>
        <item x="211"/>
        <item x="216"/>
        <item x="268"/>
        <item x="5"/>
        <item x="161"/>
        <item x="237"/>
        <item x="35"/>
        <item x="407"/>
        <item x="355"/>
        <item x="405"/>
        <item x="149"/>
        <item x="264"/>
        <item x="428"/>
        <item x="153"/>
        <item x="385"/>
        <item x="260"/>
        <item x="352"/>
        <item x="342"/>
        <item x="388"/>
        <item x="359"/>
        <item x="138"/>
        <item x="326"/>
        <item x="360"/>
        <item x="357"/>
        <item x="416"/>
        <item x="249"/>
        <item x="69"/>
        <item x="4"/>
        <item x="45"/>
        <item x="61"/>
        <item x="347"/>
        <item x="328"/>
        <item x="165"/>
        <item x="290"/>
        <item x="420"/>
        <item x="146"/>
        <item x="413"/>
        <item x="283"/>
        <item x="179"/>
        <item x="75"/>
        <item x="54"/>
        <item x="231"/>
        <item x="171"/>
        <item x="307"/>
        <item x="92"/>
        <item x="406"/>
        <item x="391"/>
        <item x="258"/>
        <item x="234"/>
        <item x="46"/>
        <item x="125"/>
        <item x="185"/>
        <item x="390"/>
        <item x="177"/>
        <item x="349"/>
        <item x="84"/>
        <item x="102"/>
        <item x="315"/>
        <item x="229"/>
        <item x="174"/>
        <item x="65"/>
        <item x="225"/>
        <item x="52"/>
        <item x="21"/>
        <item x="64"/>
        <item x="394"/>
        <item x="201"/>
        <item x="404"/>
        <item x="25"/>
        <item x="67"/>
        <item x="341"/>
        <item x="120"/>
        <item x="85"/>
        <item x="43"/>
        <item x="192"/>
        <item x="105"/>
        <item x="151"/>
        <item x="152"/>
        <item x="197"/>
        <item x="184"/>
        <item x="89"/>
        <item x="422"/>
        <item x="33"/>
        <item x="262"/>
        <item x="101"/>
        <item x="281"/>
        <item x="213"/>
        <item x="20"/>
        <item x="335"/>
        <item x="170"/>
        <item x="93"/>
        <item x="95"/>
        <item x="259"/>
        <item x="343"/>
        <item x="83"/>
        <item x="53"/>
        <item x="29"/>
        <item x="322"/>
        <item x="103"/>
        <item x="298"/>
        <item x="40"/>
        <item x="182"/>
        <item x="323"/>
        <item x="332"/>
        <item x="117"/>
        <item x="295"/>
        <item x="327"/>
        <item x="68"/>
        <item x="378"/>
        <item x="402"/>
        <item x="175"/>
        <item x="255"/>
        <item x="302"/>
        <item x="400"/>
        <item x="412"/>
        <item x="36"/>
        <item x="419"/>
        <item x="418"/>
        <item x="26"/>
        <item x="374"/>
        <item x="386"/>
        <item x="55"/>
        <item x="38"/>
        <item x="339"/>
        <item x="99"/>
        <item x="363"/>
        <item x="121"/>
        <item x="333"/>
        <item x="88"/>
        <item x="134"/>
        <item x="196"/>
        <item x="345"/>
        <item x="241"/>
        <item x="250"/>
        <item x="256"/>
        <item x="291"/>
        <item x="324"/>
        <item x="139"/>
        <item x="56"/>
        <item x="122"/>
        <item x="320"/>
        <item x="73"/>
        <item x="376"/>
        <item x="172"/>
        <item x="12"/>
        <item x="395"/>
        <item x="269"/>
        <item x="60"/>
        <item x="19"/>
        <item x="42"/>
        <item x="370"/>
        <item x="34"/>
        <item x="17"/>
        <item x="70"/>
        <item x="191"/>
        <item x="30"/>
        <item x="32"/>
        <item x="199"/>
        <item x="118"/>
        <item x="277"/>
        <item x="119"/>
        <item x="133"/>
        <item x="354"/>
        <item x="429"/>
        <item x="96"/>
        <item x="270"/>
        <item x="245"/>
        <item x="66"/>
        <item x="167"/>
        <item x="226"/>
        <item x="230"/>
        <item x="39"/>
        <item x="276"/>
        <item x="169"/>
        <item x="286"/>
        <item x="155"/>
        <item x="236"/>
        <item x="142"/>
        <item x="367"/>
        <item x="305"/>
        <item x="187"/>
        <item x="3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4"/>
  </rowFields>
  <rowItems count="11">
    <i>
      <x v="40"/>
    </i>
    <i>
      <x v="139"/>
    </i>
    <i>
      <x v="405"/>
    </i>
    <i>
      <x v="253"/>
    </i>
    <i>
      <x v="277"/>
    </i>
    <i>
      <x v="337"/>
    </i>
    <i>
      <x v="234"/>
    </i>
    <i>
      <x v="386"/>
    </i>
    <i>
      <x v="44"/>
    </i>
    <i>
      <x v="168"/>
    </i>
    <i t="grand">
      <x/>
    </i>
  </rowItems>
  <colItems count="1">
    <i/>
  </colItems>
  <dataFields count="1">
    <dataField name="Count of location" fld="4" subtotal="count" baseField="0" baseItem="0"/>
  </dataField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8B5F8-F857-44F0-88E4-A5E06DAA0063}"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0:B26" firstHeaderRow="1" firstDataRow="1" firstDataCol="1"/>
  <pivotFields count="15">
    <pivotField showAll="0"/>
    <pivotField axis="axisRow" dataField="1" showAll="0">
      <items count="6">
        <item x="3"/>
        <item x="1"/>
        <item x="4"/>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Count of seniority_level" fld="1" subtotal="count" baseField="0" baseItem="0"/>
  </dataField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E1995-6831-461E-9810-E881B2F4106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15">
    <pivotField axis="axisRow" dataField="1" showAll="0" measure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
    <i>
      <x v="2"/>
    </i>
    <i>
      <x v="3"/>
    </i>
    <i>
      <x v="1"/>
    </i>
    <i>
      <x/>
    </i>
    <i t="grand">
      <x/>
    </i>
  </rowItems>
  <colItems count="1">
    <i/>
  </colItems>
  <dataFields count="1">
    <dataField name="Count of job_title"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561AF1-8BEE-4CA5-905E-BCEA4DF32D71}" name="JobData" displayName="JobData" ref="A1:O942" totalsRowShown="0">
  <autoFilter ref="A1:O942" xr:uid="{4D561AF1-8BEE-4CA5-905E-BCEA4DF32D71}"/>
  <tableColumns count="15">
    <tableColumn id="1" xr3:uid="{0D09E532-4C3B-41D4-8EE0-DAF2740EF2F5}" name="job_title"/>
    <tableColumn id="2" xr3:uid="{808A164E-6737-498D-82CD-DB4A0458445E}" name="seniority_level"/>
    <tableColumn id="3" xr3:uid="{66767E45-FEB6-4337-9D91-8EF78CDC5060}" name="status"/>
    <tableColumn id="4" xr3:uid="{A8EFD223-EB44-4EA8-98EA-E51A3DF27FD3}" name="company"/>
    <tableColumn id="5" xr3:uid="{F3E00535-6DD1-4A2F-B159-F27571A49A86}" name="location"/>
    <tableColumn id="6" xr3:uid="{B969CE65-47AD-4EDE-A82E-45E65F248343}" name="post_date"/>
    <tableColumn id="7" xr3:uid="{C4BDB14A-F06F-4D04-9DD2-084020B4C9BF}" name="headquarter"/>
    <tableColumn id="8" xr3:uid="{3EB2CBF2-F95C-4C25-B20E-B4D79CB4E2E6}" name="industry"/>
    <tableColumn id="9" xr3:uid="{658A5F38-01A9-40E3-BCD8-CF8154DF76C5}" name="ownership"/>
    <tableColumn id="10" xr3:uid="{ACA38E90-515D-4969-BE16-92CB742246C3}" name="company_size" dataDxfId="0"/>
    <tableColumn id="11" xr3:uid="{AA52C417-6EC9-4169-858D-1C128BF3CEBF}" name="revenue"/>
    <tableColumn id="12" xr3:uid="{7FEF8960-51EE-4C19-A65C-BD4721FB6FFD}" name="salary"/>
    <tableColumn id="13" xr3:uid="{0844DB5B-0CBD-4A5F-A12A-A143F20152A2}" name="skills"/>
    <tableColumn id="14" xr3:uid="{2F2A7E08-ED64-41CB-8C1A-2E1555B701BD}" name="days_ago"/>
    <tableColumn id="15" xr3:uid="{E2352417-F9F8-4082-8576-893C16065BC5}" name="salary_numeri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C36E9-AA2B-4FA6-A9F6-1CCBBF435EA3}">
  <dimension ref="A1:O942"/>
  <sheetViews>
    <sheetView workbookViewId="0">
      <selection activeCell="E16" sqref="A1:O942"/>
    </sheetView>
  </sheetViews>
  <sheetFormatPr defaultRowHeight="14.5" x14ac:dyDescent="0.35"/>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t="s">
        <v>20</v>
      </c>
      <c r="G2" t="s">
        <v>21</v>
      </c>
      <c r="H2" t="s">
        <v>22</v>
      </c>
      <c r="I2" t="s">
        <v>23</v>
      </c>
      <c r="J2" t="s">
        <v>24</v>
      </c>
      <c r="K2" t="s">
        <v>23</v>
      </c>
      <c r="L2" t="s">
        <v>25</v>
      </c>
      <c r="M2" t="s">
        <v>26</v>
      </c>
      <c r="N2">
        <v>17</v>
      </c>
      <c r="O2">
        <v>150705</v>
      </c>
    </row>
    <row r="3" spans="1:15" x14ac:dyDescent="0.35">
      <c r="A3" t="s">
        <v>15</v>
      </c>
      <c r="B3" t="s">
        <v>27</v>
      </c>
      <c r="C3" t="s">
        <v>17</v>
      </c>
      <c r="D3" t="s">
        <v>28</v>
      </c>
      <c r="E3" t="s">
        <v>29</v>
      </c>
      <c r="F3" t="s">
        <v>30</v>
      </c>
      <c r="G3" t="s">
        <v>31</v>
      </c>
      <c r="H3" t="s">
        <v>32</v>
      </c>
      <c r="I3" t="s">
        <v>23</v>
      </c>
      <c r="J3" s="1">
        <v>155030</v>
      </c>
      <c r="K3" t="s">
        <v>33</v>
      </c>
      <c r="L3" t="s">
        <v>34</v>
      </c>
      <c r="M3" t="s">
        <v>35</v>
      </c>
      <c r="N3">
        <v>15</v>
      </c>
      <c r="O3">
        <v>118733</v>
      </c>
    </row>
    <row r="4" spans="1:15" x14ac:dyDescent="0.35">
      <c r="A4" t="s">
        <v>15</v>
      </c>
      <c r="B4" t="s">
        <v>16</v>
      </c>
      <c r="C4" t="s">
        <v>36</v>
      </c>
      <c r="D4" t="s">
        <v>37</v>
      </c>
      <c r="E4" t="s">
        <v>38</v>
      </c>
      <c r="F4" t="s">
        <v>39</v>
      </c>
      <c r="G4" t="s">
        <v>40</v>
      </c>
      <c r="H4" t="s">
        <v>41</v>
      </c>
      <c r="I4" t="s">
        <v>23</v>
      </c>
      <c r="J4" s="1">
        <v>25930</v>
      </c>
      <c r="K4" t="s">
        <v>42</v>
      </c>
      <c r="L4" t="s">
        <v>43</v>
      </c>
      <c r="M4" t="s">
        <v>44</v>
      </c>
      <c r="O4">
        <v>127273</v>
      </c>
    </row>
    <row r="5" spans="1:15" x14ac:dyDescent="0.35">
      <c r="A5" t="s">
        <v>15</v>
      </c>
      <c r="B5" t="s">
        <v>16</v>
      </c>
      <c r="C5" t="s">
        <v>17</v>
      </c>
      <c r="D5" t="s">
        <v>45</v>
      </c>
      <c r="E5" t="s">
        <v>46</v>
      </c>
      <c r="F5" t="s">
        <v>47</v>
      </c>
      <c r="G5" t="s">
        <v>48</v>
      </c>
      <c r="H5" t="s">
        <v>41</v>
      </c>
      <c r="I5" t="s">
        <v>23</v>
      </c>
      <c r="J5" s="1">
        <v>34690</v>
      </c>
      <c r="K5" t="s">
        <v>49</v>
      </c>
      <c r="L5" t="s">
        <v>50</v>
      </c>
      <c r="M5" t="s">
        <v>51</v>
      </c>
      <c r="N5">
        <v>8</v>
      </c>
      <c r="O5">
        <v>153599.5</v>
      </c>
    </row>
    <row r="6" spans="1:15" x14ac:dyDescent="0.35">
      <c r="A6" t="s">
        <v>15</v>
      </c>
      <c r="B6" t="s">
        <v>52</v>
      </c>
      <c r="C6" t="s">
        <v>36</v>
      </c>
      <c r="D6" t="s">
        <v>53</v>
      </c>
      <c r="E6" t="s">
        <v>54</v>
      </c>
      <c r="F6" t="s">
        <v>55</v>
      </c>
      <c r="G6" t="s">
        <v>56</v>
      </c>
      <c r="H6" t="s">
        <v>57</v>
      </c>
      <c r="I6" t="s">
        <v>58</v>
      </c>
      <c r="J6" s="1">
        <v>1800</v>
      </c>
      <c r="K6" t="s">
        <v>58</v>
      </c>
      <c r="L6" t="s">
        <v>59</v>
      </c>
      <c r="M6" t="s">
        <v>60</v>
      </c>
      <c r="N6">
        <v>3</v>
      </c>
      <c r="O6">
        <v>171254.5</v>
      </c>
    </row>
    <row r="7" spans="1:15" x14ac:dyDescent="0.35">
      <c r="A7" t="s">
        <v>15</v>
      </c>
      <c r="B7" t="s">
        <v>27</v>
      </c>
      <c r="C7" t="s">
        <v>61</v>
      </c>
      <c r="D7" t="s">
        <v>62</v>
      </c>
      <c r="E7" t="s">
        <v>63</v>
      </c>
      <c r="F7" t="s">
        <v>64</v>
      </c>
      <c r="G7" t="s">
        <v>65</v>
      </c>
      <c r="H7" t="s">
        <v>41</v>
      </c>
      <c r="I7" t="s">
        <v>58</v>
      </c>
      <c r="J7">
        <v>150</v>
      </c>
      <c r="K7" t="s">
        <v>66</v>
      </c>
      <c r="L7" t="s">
        <v>67</v>
      </c>
      <c r="M7" t="s">
        <v>68</v>
      </c>
      <c r="N7">
        <v>3</v>
      </c>
      <c r="O7">
        <v>223770.5</v>
      </c>
    </row>
    <row r="8" spans="1:15" x14ac:dyDescent="0.35">
      <c r="A8" t="s">
        <v>15</v>
      </c>
      <c r="B8" t="s">
        <v>69</v>
      </c>
      <c r="C8" t="s">
        <v>61</v>
      </c>
      <c r="D8" t="s">
        <v>70</v>
      </c>
      <c r="E8" t="s">
        <v>71</v>
      </c>
      <c r="F8" t="s">
        <v>30</v>
      </c>
      <c r="G8" t="s">
        <v>72</v>
      </c>
      <c r="H8" t="s">
        <v>73</v>
      </c>
      <c r="I8" t="s">
        <v>61</v>
      </c>
      <c r="J8" s="1">
        <v>17471</v>
      </c>
      <c r="K8" t="s">
        <v>73</v>
      </c>
      <c r="L8" t="s">
        <v>74</v>
      </c>
      <c r="M8" t="s">
        <v>60</v>
      </c>
      <c r="N8">
        <v>15</v>
      </c>
      <c r="O8">
        <v>60737</v>
      </c>
    </row>
    <row r="9" spans="1:15" x14ac:dyDescent="0.35">
      <c r="A9" t="s">
        <v>75</v>
      </c>
      <c r="B9" t="s">
        <v>16</v>
      </c>
      <c r="C9" t="s">
        <v>36</v>
      </c>
      <c r="D9" t="s">
        <v>76</v>
      </c>
      <c r="E9" t="s">
        <v>77</v>
      </c>
      <c r="F9" t="s">
        <v>78</v>
      </c>
      <c r="G9" t="s">
        <v>79</v>
      </c>
      <c r="H9" t="s">
        <v>41</v>
      </c>
      <c r="I9" t="s">
        <v>23</v>
      </c>
      <c r="J9">
        <v>900</v>
      </c>
      <c r="K9" t="s">
        <v>23</v>
      </c>
      <c r="L9" t="s">
        <v>80</v>
      </c>
      <c r="M9" t="s">
        <v>81</v>
      </c>
      <c r="N9">
        <v>9</v>
      </c>
      <c r="O9">
        <v>126960</v>
      </c>
    </row>
    <row r="10" spans="1:15" x14ac:dyDescent="0.35">
      <c r="A10" t="s">
        <v>15</v>
      </c>
      <c r="B10" t="s">
        <v>16</v>
      </c>
      <c r="C10" t="s">
        <v>82</v>
      </c>
      <c r="D10" t="s">
        <v>83</v>
      </c>
      <c r="E10" t="s">
        <v>84</v>
      </c>
      <c r="F10" t="s">
        <v>85</v>
      </c>
      <c r="G10" t="s">
        <v>86</v>
      </c>
      <c r="H10" t="s">
        <v>41</v>
      </c>
      <c r="I10" t="s">
        <v>58</v>
      </c>
      <c r="J10">
        <v>126</v>
      </c>
      <c r="K10" t="s">
        <v>58</v>
      </c>
      <c r="L10" t="s">
        <v>87</v>
      </c>
      <c r="M10" t="s">
        <v>60</v>
      </c>
      <c r="N10">
        <v>6</v>
      </c>
      <c r="O10">
        <v>207331</v>
      </c>
    </row>
    <row r="11" spans="1:15" x14ac:dyDescent="0.35">
      <c r="A11" t="s">
        <v>15</v>
      </c>
      <c r="B11" t="s">
        <v>16</v>
      </c>
      <c r="C11" t="s">
        <v>36</v>
      </c>
      <c r="D11" t="s">
        <v>88</v>
      </c>
      <c r="E11" t="s">
        <v>54</v>
      </c>
      <c r="F11" t="s">
        <v>89</v>
      </c>
      <c r="G11" t="s">
        <v>90</v>
      </c>
      <c r="H11" t="s">
        <v>41</v>
      </c>
      <c r="I11" t="s">
        <v>23</v>
      </c>
      <c r="J11" s="1">
        <v>5520</v>
      </c>
      <c r="K11" t="s">
        <v>91</v>
      </c>
      <c r="L11" t="s">
        <v>92</v>
      </c>
      <c r="M11" t="s">
        <v>60</v>
      </c>
      <c r="O11">
        <v>219201</v>
      </c>
    </row>
    <row r="12" spans="1:15" x14ac:dyDescent="0.35">
      <c r="A12" t="s">
        <v>15</v>
      </c>
      <c r="B12" t="s">
        <v>16</v>
      </c>
      <c r="C12" t="s">
        <v>61</v>
      </c>
      <c r="D12" t="s">
        <v>93</v>
      </c>
      <c r="E12" t="s">
        <v>94</v>
      </c>
      <c r="F12" t="s">
        <v>30</v>
      </c>
      <c r="G12" t="s">
        <v>95</v>
      </c>
      <c r="H12" t="s">
        <v>41</v>
      </c>
      <c r="I12" t="s">
        <v>23</v>
      </c>
      <c r="J12" s="1">
        <v>103010</v>
      </c>
      <c r="K12" t="s">
        <v>96</v>
      </c>
      <c r="L12" t="s">
        <v>97</v>
      </c>
      <c r="M12" t="s">
        <v>98</v>
      </c>
      <c r="N12">
        <v>15</v>
      </c>
      <c r="O12">
        <v>96815</v>
      </c>
    </row>
    <row r="13" spans="1:15" x14ac:dyDescent="0.35">
      <c r="A13" t="s">
        <v>15</v>
      </c>
      <c r="B13" t="s">
        <v>99</v>
      </c>
      <c r="C13" t="s">
        <v>61</v>
      </c>
      <c r="D13" t="s">
        <v>100</v>
      </c>
      <c r="E13" t="s">
        <v>101</v>
      </c>
      <c r="F13" t="s">
        <v>85</v>
      </c>
      <c r="G13" t="s">
        <v>102</v>
      </c>
      <c r="H13" t="s">
        <v>73</v>
      </c>
      <c r="I13" t="s">
        <v>61</v>
      </c>
      <c r="J13">
        <v>240</v>
      </c>
      <c r="K13" t="s">
        <v>73</v>
      </c>
      <c r="L13" t="s">
        <v>103</v>
      </c>
      <c r="M13" t="s">
        <v>104</v>
      </c>
      <c r="N13">
        <v>6</v>
      </c>
      <c r="O13">
        <v>75995</v>
      </c>
    </row>
    <row r="14" spans="1:15" x14ac:dyDescent="0.35">
      <c r="A14" t="s">
        <v>15</v>
      </c>
      <c r="B14" t="s">
        <v>16</v>
      </c>
      <c r="C14" t="s">
        <v>82</v>
      </c>
      <c r="D14" t="s">
        <v>105</v>
      </c>
      <c r="E14" t="s">
        <v>106</v>
      </c>
      <c r="F14" t="s">
        <v>47</v>
      </c>
      <c r="G14" t="s">
        <v>107</v>
      </c>
      <c r="H14" t="s">
        <v>32</v>
      </c>
      <c r="I14" t="s">
        <v>23</v>
      </c>
      <c r="J14" s="1">
        <v>21030</v>
      </c>
      <c r="K14" t="s">
        <v>108</v>
      </c>
      <c r="L14" t="s">
        <v>109</v>
      </c>
      <c r="M14" t="s">
        <v>110</v>
      </c>
      <c r="N14">
        <v>8</v>
      </c>
      <c r="O14">
        <v>132709</v>
      </c>
    </row>
    <row r="15" spans="1:15" x14ac:dyDescent="0.35">
      <c r="A15" t="s">
        <v>15</v>
      </c>
      <c r="B15" t="s">
        <v>16</v>
      </c>
      <c r="C15" t="s">
        <v>36</v>
      </c>
      <c r="D15" t="s">
        <v>111</v>
      </c>
      <c r="E15" t="s">
        <v>112</v>
      </c>
      <c r="F15" t="s">
        <v>113</v>
      </c>
      <c r="G15" t="s">
        <v>114</v>
      </c>
      <c r="H15" t="s">
        <v>115</v>
      </c>
      <c r="I15" t="s">
        <v>23</v>
      </c>
      <c r="J15" s="1">
        <v>128890</v>
      </c>
      <c r="K15" t="s">
        <v>116</v>
      </c>
      <c r="L15" t="s">
        <v>117</v>
      </c>
      <c r="M15" t="s">
        <v>118</v>
      </c>
      <c r="N15">
        <v>19</v>
      </c>
      <c r="O15">
        <v>115083</v>
      </c>
    </row>
    <row r="16" spans="1:15" x14ac:dyDescent="0.35">
      <c r="A16" t="s">
        <v>15</v>
      </c>
      <c r="B16" t="s">
        <v>16</v>
      </c>
      <c r="C16" t="s">
        <v>36</v>
      </c>
      <c r="D16" t="s">
        <v>119</v>
      </c>
      <c r="E16" t="s">
        <v>120</v>
      </c>
      <c r="F16" t="s">
        <v>39</v>
      </c>
      <c r="G16" t="s">
        <v>121</v>
      </c>
      <c r="H16" t="s">
        <v>41</v>
      </c>
      <c r="I16" t="s">
        <v>58</v>
      </c>
      <c r="J16">
        <v>45</v>
      </c>
      <c r="K16" t="s">
        <v>58</v>
      </c>
      <c r="L16" t="s">
        <v>122</v>
      </c>
      <c r="M16" t="s">
        <v>123</v>
      </c>
      <c r="O16">
        <v>139283.5</v>
      </c>
    </row>
    <row r="17" spans="1:15" x14ac:dyDescent="0.35">
      <c r="A17" t="s">
        <v>15</v>
      </c>
      <c r="B17" t="s">
        <v>16</v>
      </c>
      <c r="C17" t="s">
        <v>82</v>
      </c>
      <c r="D17" t="s">
        <v>124</v>
      </c>
      <c r="E17" t="s">
        <v>84</v>
      </c>
      <c r="F17" t="s">
        <v>125</v>
      </c>
      <c r="G17" t="s">
        <v>90</v>
      </c>
      <c r="H17" t="s">
        <v>57</v>
      </c>
      <c r="I17" t="s">
        <v>58</v>
      </c>
      <c r="J17">
        <v>300</v>
      </c>
      <c r="K17" t="s">
        <v>58</v>
      </c>
      <c r="L17" t="s">
        <v>126</v>
      </c>
      <c r="M17" t="s">
        <v>60</v>
      </c>
      <c r="N17">
        <v>14</v>
      </c>
      <c r="O17">
        <v>134266</v>
      </c>
    </row>
    <row r="18" spans="1:15" x14ac:dyDescent="0.35">
      <c r="A18" t="s">
        <v>15</v>
      </c>
      <c r="B18" t="s">
        <v>27</v>
      </c>
      <c r="C18" t="s">
        <v>61</v>
      </c>
      <c r="D18" t="s">
        <v>127</v>
      </c>
      <c r="E18" t="s">
        <v>128</v>
      </c>
      <c r="F18" t="s">
        <v>85</v>
      </c>
      <c r="G18" t="s">
        <v>129</v>
      </c>
      <c r="H18" t="s">
        <v>41</v>
      </c>
      <c r="I18" t="s">
        <v>23</v>
      </c>
      <c r="J18" s="1">
        <v>132000</v>
      </c>
      <c r="K18" t="s">
        <v>130</v>
      </c>
      <c r="L18" t="s">
        <v>131</v>
      </c>
      <c r="M18" t="s">
        <v>132</v>
      </c>
      <c r="N18">
        <v>6</v>
      </c>
      <c r="O18">
        <v>52746</v>
      </c>
    </row>
    <row r="19" spans="1:15" x14ac:dyDescent="0.35">
      <c r="A19" t="s">
        <v>15</v>
      </c>
      <c r="B19" t="s">
        <v>27</v>
      </c>
      <c r="C19" t="s">
        <v>36</v>
      </c>
      <c r="D19" t="s">
        <v>133</v>
      </c>
      <c r="E19" t="s">
        <v>134</v>
      </c>
      <c r="F19" t="s">
        <v>47</v>
      </c>
      <c r="G19" t="s">
        <v>90</v>
      </c>
      <c r="H19" t="s">
        <v>57</v>
      </c>
      <c r="I19" t="s">
        <v>23</v>
      </c>
      <c r="J19" s="1">
        <v>257150</v>
      </c>
      <c r="K19" t="s">
        <v>135</v>
      </c>
      <c r="L19" t="s">
        <v>136</v>
      </c>
      <c r="M19" t="s">
        <v>137</v>
      </c>
      <c r="N19">
        <v>8</v>
      </c>
      <c r="O19">
        <v>162576</v>
      </c>
    </row>
    <row r="20" spans="1:15" x14ac:dyDescent="0.35">
      <c r="A20" t="s">
        <v>15</v>
      </c>
      <c r="B20" t="s">
        <v>16</v>
      </c>
      <c r="C20" t="s">
        <v>82</v>
      </c>
      <c r="D20" t="s">
        <v>138</v>
      </c>
      <c r="E20" t="s">
        <v>84</v>
      </c>
      <c r="F20" t="s">
        <v>139</v>
      </c>
      <c r="G20" t="s">
        <v>90</v>
      </c>
      <c r="H20" t="s">
        <v>73</v>
      </c>
      <c r="I20" t="s">
        <v>58</v>
      </c>
      <c r="J20">
        <v>130</v>
      </c>
      <c r="K20" t="s">
        <v>140</v>
      </c>
      <c r="L20" t="s">
        <v>141</v>
      </c>
      <c r="M20" t="s">
        <v>60</v>
      </c>
      <c r="N20">
        <v>13</v>
      </c>
      <c r="O20">
        <v>206875</v>
      </c>
    </row>
    <row r="21" spans="1:15" x14ac:dyDescent="0.35">
      <c r="A21" t="s">
        <v>75</v>
      </c>
      <c r="B21" t="s">
        <v>69</v>
      </c>
      <c r="C21" t="s">
        <v>61</v>
      </c>
      <c r="D21" t="s">
        <v>142</v>
      </c>
      <c r="E21" t="s">
        <v>143</v>
      </c>
      <c r="F21" t="s">
        <v>113</v>
      </c>
      <c r="G21" t="s">
        <v>144</v>
      </c>
      <c r="H21" t="s">
        <v>115</v>
      </c>
      <c r="I21" t="s">
        <v>23</v>
      </c>
      <c r="J21" s="1">
        <v>93580</v>
      </c>
      <c r="K21" t="s">
        <v>145</v>
      </c>
      <c r="L21" t="s">
        <v>146</v>
      </c>
      <c r="M21" t="s">
        <v>147</v>
      </c>
      <c r="N21">
        <v>19</v>
      </c>
      <c r="O21">
        <v>80123</v>
      </c>
    </row>
    <row r="22" spans="1:15" x14ac:dyDescent="0.35">
      <c r="A22" t="s">
        <v>15</v>
      </c>
      <c r="B22" t="s">
        <v>16</v>
      </c>
      <c r="C22" t="s">
        <v>36</v>
      </c>
      <c r="D22" t="s">
        <v>148</v>
      </c>
      <c r="E22" t="s">
        <v>149</v>
      </c>
      <c r="F22" t="s">
        <v>47</v>
      </c>
      <c r="G22" t="s">
        <v>150</v>
      </c>
      <c r="H22" t="s">
        <v>57</v>
      </c>
      <c r="I22" t="s">
        <v>23</v>
      </c>
      <c r="J22" s="1">
        <v>44010</v>
      </c>
      <c r="K22" t="s">
        <v>23</v>
      </c>
      <c r="L22" t="s">
        <v>151</v>
      </c>
      <c r="M22" t="s">
        <v>152</v>
      </c>
      <c r="N22">
        <v>8</v>
      </c>
      <c r="O22">
        <v>72611</v>
      </c>
    </row>
    <row r="23" spans="1:15" x14ac:dyDescent="0.35">
      <c r="A23" t="s">
        <v>15</v>
      </c>
      <c r="B23" t="s">
        <v>16</v>
      </c>
      <c r="C23" t="s">
        <v>36</v>
      </c>
      <c r="D23" t="s">
        <v>153</v>
      </c>
      <c r="E23" t="s">
        <v>154</v>
      </c>
      <c r="F23" t="s">
        <v>47</v>
      </c>
      <c r="G23" t="s">
        <v>155</v>
      </c>
      <c r="H23" t="s">
        <v>156</v>
      </c>
      <c r="I23" t="s">
        <v>23</v>
      </c>
      <c r="J23" s="1">
        <v>11610</v>
      </c>
      <c r="K23" t="s">
        <v>157</v>
      </c>
      <c r="L23" t="s">
        <v>158</v>
      </c>
      <c r="M23" t="s">
        <v>159</v>
      </c>
      <c r="N23">
        <v>8</v>
      </c>
      <c r="O23">
        <v>129743</v>
      </c>
    </row>
    <row r="24" spans="1:15" x14ac:dyDescent="0.35">
      <c r="A24" t="s">
        <v>15</v>
      </c>
      <c r="B24" t="s">
        <v>16</v>
      </c>
      <c r="C24" t="s">
        <v>36</v>
      </c>
      <c r="D24" t="s">
        <v>160</v>
      </c>
      <c r="E24" t="s">
        <v>161</v>
      </c>
      <c r="F24" t="s">
        <v>85</v>
      </c>
      <c r="G24" t="s">
        <v>150</v>
      </c>
      <c r="H24" t="s">
        <v>41</v>
      </c>
      <c r="I24" t="s">
        <v>58</v>
      </c>
      <c r="J24">
        <v>300</v>
      </c>
      <c r="K24" t="s">
        <v>58</v>
      </c>
      <c r="L24" t="s">
        <v>162</v>
      </c>
      <c r="M24" t="s">
        <v>163</v>
      </c>
      <c r="N24">
        <v>6</v>
      </c>
      <c r="O24">
        <v>85044</v>
      </c>
    </row>
    <row r="25" spans="1:15" x14ac:dyDescent="0.35">
      <c r="A25" t="s">
        <v>15</v>
      </c>
      <c r="B25" t="s">
        <v>16</v>
      </c>
      <c r="C25" t="s">
        <v>61</v>
      </c>
      <c r="D25" t="s">
        <v>164</v>
      </c>
      <c r="E25" t="s">
        <v>165</v>
      </c>
      <c r="F25" t="s">
        <v>64</v>
      </c>
      <c r="G25" t="s">
        <v>90</v>
      </c>
      <c r="H25" t="s">
        <v>41</v>
      </c>
      <c r="I25" t="s">
        <v>58</v>
      </c>
      <c r="J25">
        <v>100</v>
      </c>
      <c r="K25" t="s">
        <v>166</v>
      </c>
      <c r="L25" t="s">
        <v>167</v>
      </c>
      <c r="M25" t="s">
        <v>60</v>
      </c>
      <c r="N25">
        <v>3</v>
      </c>
      <c r="O25">
        <v>178107.5</v>
      </c>
    </row>
    <row r="26" spans="1:15" x14ac:dyDescent="0.35">
      <c r="A26" t="s">
        <v>15</v>
      </c>
      <c r="B26" t="s">
        <v>27</v>
      </c>
      <c r="C26" t="s">
        <v>61</v>
      </c>
      <c r="D26" t="s">
        <v>168</v>
      </c>
      <c r="E26" t="s">
        <v>128</v>
      </c>
      <c r="F26" t="s">
        <v>39</v>
      </c>
      <c r="G26" t="s">
        <v>169</v>
      </c>
      <c r="H26" t="s">
        <v>41</v>
      </c>
      <c r="I26" t="s">
        <v>23</v>
      </c>
      <c r="J26" s="1">
        <v>222070</v>
      </c>
      <c r="K26" t="s">
        <v>170</v>
      </c>
      <c r="L26" t="s">
        <v>171</v>
      </c>
      <c r="M26" t="s">
        <v>172</v>
      </c>
      <c r="O26">
        <v>10049</v>
      </c>
    </row>
    <row r="27" spans="1:15" x14ac:dyDescent="0.35">
      <c r="A27" t="s">
        <v>15</v>
      </c>
      <c r="B27" t="s">
        <v>52</v>
      </c>
      <c r="C27" t="s">
        <v>82</v>
      </c>
      <c r="D27" t="s">
        <v>173</v>
      </c>
      <c r="E27" t="s">
        <v>174</v>
      </c>
      <c r="F27" t="s">
        <v>64</v>
      </c>
      <c r="G27" t="s">
        <v>90</v>
      </c>
      <c r="H27" t="s">
        <v>41</v>
      </c>
      <c r="I27" t="s">
        <v>58</v>
      </c>
      <c r="J27">
        <v>340</v>
      </c>
      <c r="K27" t="s">
        <v>175</v>
      </c>
      <c r="L27" t="s">
        <v>176</v>
      </c>
      <c r="M27" t="s">
        <v>60</v>
      </c>
      <c r="N27">
        <v>3</v>
      </c>
      <c r="O27">
        <v>100468</v>
      </c>
    </row>
    <row r="28" spans="1:15" x14ac:dyDescent="0.35">
      <c r="A28" t="s">
        <v>15</v>
      </c>
      <c r="B28" t="s">
        <v>16</v>
      </c>
      <c r="C28" t="s">
        <v>61</v>
      </c>
      <c r="D28" t="s">
        <v>177</v>
      </c>
      <c r="E28" t="s">
        <v>178</v>
      </c>
      <c r="F28" t="s">
        <v>30</v>
      </c>
      <c r="G28" t="s">
        <v>179</v>
      </c>
      <c r="H28" t="s">
        <v>41</v>
      </c>
      <c r="I28" t="s">
        <v>58</v>
      </c>
      <c r="J28" s="1">
        <v>3780</v>
      </c>
      <c r="K28" t="s">
        <v>58</v>
      </c>
      <c r="L28" t="s">
        <v>180</v>
      </c>
      <c r="M28" t="s">
        <v>181</v>
      </c>
      <c r="N28">
        <v>15</v>
      </c>
      <c r="O28">
        <v>150205.5</v>
      </c>
    </row>
    <row r="29" spans="1:15" x14ac:dyDescent="0.35">
      <c r="A29" t="s">
        <v>15</v>
      </c>
      <c r="B29" t="s">
        <v>16</v>
      </c>
      <c r="C29" t="s">
        <v>61</v>
      </c>
      <c r="D29" t="s">
        <v>182</v>
      </c>
      <c r="E29" t="s">
        <v>165</v>
      </c>
      <c r="F29" t="s">
        <v>47</v>
      </c>
      <c r="G29" t="s">
        <v>90</v>
      </c>
      <c r="H29" t="s">
        <v>73</v>
      </c>
      <c r="I29" t="s">
        <v>58</v>
      </c>
      <c r="J29">
        <v>807</v>
      </c>
      <c r="K29" t="s">
        <v>183</v>
      </c>
      <c r="L29" t="s">
        <v>184</v>
      </c>
      <c r="M29" t="s">
        <v>118</v>
      </c>
      <c r="N29">
        <v>8</v>
      </c>
      <c r="O29">
        <v>150707</v>
      </c>
    </row>
    <row r="30" spans="1:15" x14ac:dyDescent="0.35">
      <c r="A30" t="s">
        <v>15</v>
      </c>
      <c r="B30" t="s">
        <v>16</v>
      </c>
      <c r="C30" t="s">
        <v>36</v>
      </c>
      <c r="D30" t="s">
        <v>185</v>
      </c>
      <c r="E30" t="s">
        <v>186</v>
      </c>
      <c r="F30" t="s">
        <v>39</v>
      </c>
      <c r="G30" t="s">
        <v>187</v>
      </c>
      <c r="H30" t="s">
        <v>41</v>
      </c>
      <c r="I30" t="s">
        <v>61</v>
      </c>
      <c r="J30" s="1">
        <v>8010</v>
      </c>
      <c r="K30" t="s">
        <v>73</v>
      </c>
      <c r="L30" t="s">
        <v>188</v>
      </c>
      <c r="M30" t="s">
        <v>189</v>
      </c>
      <c r="O30">
        <v>210071</v>
      </c>
    </row>
    <row r="31" spans="1:15" x14ac:dyDescent="0.35">
      <c r="A31" t="s">
        <v>75</v>
      </c>
      <c r="B31" t="s">
        <v>16</v>
      </c>
      <c r="C31" t="s">
        <v>61</v>
      </c>
      <c r="D31" t="s">
        <v>190</v>
      </c>
      <c r="E31" t="s">
        <v>191</v>
      </c>
      <c r="F31" t="s">
        <v>39</v>
      </c>
      <c r="G31" t="s">
        <v>90</v>
      </c>
      <c r="H31" t="s">
        <v>41</v>
      </c>
      <c r="I31" t="s">
        <v>23</v>
      </c>
      <c r="J31" s="1">
        <v>26950</v>
      </c>
      <c r="K31" t="s">
        <v>192</v>
      </c>
      <c r="L31" t="s">
        <v>193</v>
      </c>
      <c r="M31" t="s">
        <v>110</v>
      </c>
      <c r="O31">
        <v>72515</v>
      </c>
    </row>
    <row r="32" spans="1:15" x14ac:dyDescent="0.35">
      <c r="A32" t="s">
        <v>15</v>
      </c>
      <c r="B32" t="s">
        <v>27</v>
      </c>
      <c r="C32" t="s">
        <v>36</v>
      </c>
      <c r="D32" t="s">
        <v>194</v>
      </c>
      <c r="E32" t="s">
        <v>195</v>
      </c>
      <c r="F32" t="s">
        <v>196</v>
      </c>
      <c r="G32" t="s">
        <v>197</v>
      </c>
      <c r="H32" t="s">
        <v>41</v>
      </c>
      <c r="I32" t="s">
        <v>23</v>
      </c>
      <c r="J32" s="1">
        <v>4820</v>
      </c>
      <c r="K32" t="s">
        <v>198</v>
      </c>
      <c r="L32" t="s">
        <v>199</v>
      </c>
      <c r="M32" t="s">
        <v>200</v>
      </c>
      <c r="N32">
        <v>7</v>
      </c>
      <c r="O32">
        <v>112288</v>
      </c>
    </row>
    <row r="33" spans="1:15" x14ac:dyDescent="0.35">
      <c r="A33" t="s">
        <v>15</v>
      </c>
      <c r="B33" t="s">
        <v>27</v>
      </c>
      <c r="C33" t="s">
        <v>17</v>
      </c>
      <c r="D33" t="s">
        <v>201</v>
      </c>
      <c r="E33" t="s">
        <v>202</v>
      </c>
      <c r="F33" t="s">
        <v>203</v>
      </c>
      <c r="G33" t="s">
        <v>204</v>
      </c>
      <c r="H33" t="s">
        <v>22</v>
      </c>
      <c r="I33" t="s">
        <v>23</v>
      </c>
      <c r="J33" s="1">
        <v>157200</v>
      </c>
      <c r="K33" t="s">
        <v>23</v>
      </c>
      <c r="L33" t="s">
        <v>205</v>
      </c>
      <c r="M33" t="s">
        <v>206</v>
      </c>
      <c r="N33">
        <v>25</v>
      </c>
      <c r="O33">
        <v>132437</v>
      </c>
    </row>
    <row r="34" spans="1:15" x14ac:dyDescent="0.35">
      <c r="A34" t="s">
        <v>15</v>
      </c>
      <c r="B34" t="s">
        <v>16</v>
      </c>
      <c r="C34" t="s">
        <v>17</v>
      </c>
      <c r="D34" t="s">
        <v>207</v>
      </c>
      <c r="E34" t="s">
        <v>208</v>
      </c>
      <c r="F34" t="s">
        <v>30</v>
      </c>
      <c r="G34" t="s">
        <v>209</v>
      </c>
      <c r="H34" t="s">
        <v>41</v>
      </c>
      <c r="I34" t="s">
        <v>23</v>
      </c>
      <c r="J34" s="1">
        <v>1320</v>
      </c>
      <c r="K34" t="s">
        <v>23</v>
      </c>
      <c r="L34" t="s">
        <v>210</v>
      </c>
      <c r="M34" t="s">
        <v>211</v>
      </c>
      <c r="N34">
        <v>15</v>
      </c>
      <c r="O34">
        <v>54802.5</v>
      </c>
    </row>
    <row r="35" spans="1:15" x14ac:dyDescent="0.35">
      <c r="A35" t="s">
        <v>15</v>
      </c>
      <c r="B35" t="s">
        <v>16</v>
      </c>
      <c r="C35" t="s">
        <v>36</v>
      </c>
      <c r="D35" t="s">
        <v>194</v>
      </c>
      <c r="E35" t="s">
        <v>195</v>
      </c>
      <c r="F35" t="s">
        <v>196</v>
      </c>
      <c r="G35" t="s">
        <v>197</v>
      </c>
      <c r="H35" t="s">
        <v>41</v>
      </c>
      <c r="I35" t="s">
        <v>23</v>
      </c>
      <c r="J35" s="1">
        <v>4780</v>
      </c>
      <c r="K35" t="s">
        <v>212</v>
      </c>
      <c r="L35" t="s">
        <v>213</v>
      </c>
      <c r="M35" t="s">
        <v>200</v>
      </c>
      <c r="N35">
        <v>7</v>
      </c>
      <c r="O35">
        <v>112291</v>
      </c>
    </row>
    <row r="36" spans="1:15" x14ac:dyDescent="0.35">
      <c r="A36" t="s">
        <v>15</v>
      </c>
      <c r="B36" t="s">
        <v>16</v>
      </c>
      <c r="C36" t="s">
        <v>36</v>
      </c>
      <c r="D36" t="s">
        <v>214</v>
      </c>
      <c r="E36" t="s">
        <v>161</v>
      </c>
      <c r="F36" t="s">
        <v>55</v>
      </c>
      <c r="G36" t="s">
        <v>215</v>
      </c>
      <c r="H36" t="s">
        <v>41</v>
      </c>
      <c r="I36" t="s">
        <v>58</v>
      </c>
      <c r="J36" s="1">
        <v>26070</v>
      </c>
      <c r="K36" t="s">
        <v>58</v>
      </c>
      <c r="L36" t="s">
        <v>216</v>
      </c>
      <c r="M36" t="s">
        <v>217</v>
      </c>
      <c r="N36">
        <v>3</v>
      </c>
      <c r="O36">
        <v>104122</v>
      </c>
    </row>
    <row r="37" spans="1:15" x14ac:dyDescent="0.35">
      <c r="A37" t="s">
        <v>15</v>
      </c>
      <c r="B37" t="s">
        <v>16</v>
      </c>
      <c r="C37" t="s">
        <v>17</v>
      </c>
      <c r="D37" t="s">
        <v>218</v>
      </c>
      <c r="E37" t="s">
        <v>219</v>
      </c>
      <c r="F37" t="s">
        <v>220</v>
      </c>
      <c r="G37" t="s">
        <v>221</v>
      </c>
      <c r="H37" t="s">
        <v>41</v>
      </c>
      <c r="I37" t="s">
        <v>58</v>
      </c>
      <c r="J37" s="1">
        <v>1790</v>
      </c>
      <c r="K37" t="s">
        <v>58</v>
      </c>
      <c r="L37" t="s">
        <v>222</v>
      </c>
      <c r="M37" t="s">
        <v>60</v>
      </c>
      <c r="N37">
        <v>3</v>
      </c>
      <c r="O37">
        <v>233820.5</v>
      </c>
    </row>
    <row r="38" spans="1:15" x14ac:dyDescent="0.35">
      <c r="A38" t="s">
        <v>15</v>
      </c>
      <c r="B38" t="s">
        <v>16</v>
      </c>
      <c r="C38" t="s">
        <v>17</v>
      </c>
      <c r="D38" t="s">
        <v>223</v>
      </c>
      <c r="E38" t="s">
        <v>224</v>
      </c>
      <c r="F38" t="s">
        <v>113</v>
      </c>
      <c r="G38" t="s">
        <v>90</v>
      </c>
      <c r="H38" t="s">
        <v>41</v>
      </c>
      <c r="I38" t="s">
        <v>23</v>
      </c>
      <c r="J38" s="1">
        <v>5260</v>
      </c>
      <c r="K38" t="s">
        <v>225</v>
      </c>
      <c r="L38" t="s">
        <v>226</v>
      </c>
      <c r="M38" t="s">
        <v>60</v>
      </c>
      <c r="N38">
        <v>19</v>
      </c>
      <c r="O38">
        <v>260211</v>
      </c>
    </row>
    <row r="39" spans="1:15" x14ac:dyDescent="0.35">
      <c r="A39" t="s">
        <v>15</v>
      </c>
      <c r="B39" t="s">
        <v>27</v>
      </c>
      <c r="C39" t="s">
        <v>61</v>
      </c>
      <c r="D39" t="s">
        <v>227</v>
      </c>
      <c r="E39" t="s">
        <v>228</v>
      </c>
      <c r="F39" t="s">
        <v>39</v>
      </c>
      <c r="G39" t="s">
        <v>229</v>
      </c>
      <c r="H39" t="s">
        <v>41</v>
      </c>
      <c r="I39" t="s">
        <v>58</v>
      </c>
      <c r="J39">
        <v>210</v>
      </c>
      <c r="K39" t="s">
        <v>58</v>
      </c>
      <c r="L39" t="s">
        <v>230</v>
      </c>
      <c r="M39" t="s">
        <v>231</v>
      </c>
      <c r="O39">
        <v>114355</v>
      </c>
    </row>
    <row r="40" spans="1:15" x14ac:dyDescent="0.35">
      <c r="A40" t="s">
        <v>15</v>
      </c>
      <c r="B40" t="s">
        <v>99</v>
      </c>
      <c r="C40" t="s">
        <v>36</v>
      </c>
      <c r="D40" t="s">
        <v>232</v>
      </c>
      <c r="E40" t="s">
        <v>233</v>
      </c>
      <c r="F40" t="s">
        <v>30</v>
      </c>
      <c r="G40" t="s">
        <v>234</v>
      </c>
      <c r="H40" t="s">
        <v>41</v>
      </c>
      <c r="I40" t="s">
        <v>23</v>
      </c>
      <c r="J40" s="1">
        <v>9070</v>
      </c>
      <c r="K40" t="s">
        <v>23</v>
      </c>
      <c r="L40" t="s">
        <v>235</v>
      </c>
      <c r="M40" t="s">
        <v>206</v>
      </c>
      <c r="N40">
        <v>15</v>
      </c>
      <c r="O40">
        <v>171254.5</v>
      </c>
    </row>
    <row r="41" spans="1:15" x14ac:dyDescent="0.35">
      <c r="A41" t="s">
        <v>15</v>
      </c>
      <c r="B41" t="s">
        <v>16</v>
      </c>
      <c r="C41" t="s">
        <v>61</v>
      </c>
      <c r="D41" t="s">
        <v>236</v>
      </c>
      <c r="E41" t="s">
        <v>94</v>
      </c>
      <c r="F41" t="s">
        <v>237</v>
      </c>
      <c r="G41" t="s">
        <v>238</v>
      </c>
      <c r="H41" t="s">
        <v>41</v>
      </c>
      <c r="I41" t="s">
        <v>23</v>
      </c>
      <c r="J41" s="1">
        <v>9030</v>
      </c>
      <c r="K41" t="s">
        <v>239</v>
      </c>
      <c r="L41" t="s">
        <v>240</v>
      </c>
      <c r="M41" t="s">
        <v>241</v>
      </c>
      <c r="N41">
        <v>20</v>
      </c>
      <c r="O41">
        <v>105035</v>
      </c>
    </row>
    <row r="42" spans="1:15" x14ac:dyDescent="0.35">
      <c r="A42" t="s">
        <v>15</v>
      </c>
      <c r="B42" t="s">
        <v>16</v>
      </c>
      <c r="C42" t="s">
        <v>82</v>
      </c>
      <c r="D42" t="s">
        <v>242</v>
      </c>
      <c r="E42" t="s">
        <v>243</v>
      </c>
      <c r="F42" t="s">
        <v>244</v>
      </c>
      <c r="G42" t="s">
        <v>245</v>
      </c>
      <c r="H42" t="s">
        <v>41</v>
      </c>
      <c r="I42" t="s">
        <v>58</v>
      </c>
      <c r="J42">
        <v>60</v>
      </c>
      <c r="K42" t="s">
        <v>58</v>
      </c>
      <c r="L42" t="s">
        <v>246</v>
      </c>
      <c r="M42" t="s">
        <v>241</v>
      </c>
      <c r="N42">
        <v>2</v>
      </c>
      <c r="O42">
        <v>159839</v>
      </c>
    </row>
    <row r="43" spans="1:15" x14ac:dyDescent="0.35">
      <c r="A43" t="s">
        <v>15</v>
      </c>
      <c r="B43" t="s">
        <v>16</v>
      </c>
      <c r="C43" t="s">
        <v>36</v>
      </c>
      <c r="D43" t="s">
        <v>247</v>
      </c>
      <c r="E43" t="s">
        <v>248</v>
      </c>
      <c r="F43" t="s">
        <v>78</v>
      </c>
      <c r="G43" t="s">
        <v>249</v>
      </c>
      <c r="H43" t="s">
        <v>41</v>
      </c>
      <c r="I43" t="s">
        <v>23</v>
      </c>
      <c r="J43" s="1">
        <v>41020</v>
      </c>
      <c r="K43" t="s">
        <v>250</v>
      </c>
      <c r="L43" t="s">
        <v>251</v>
      </c>
      <c r="M43" t="s">
        <v>252</v>
      </c>
      <c r="N43">
        <v>9</v>
      </c>
      <c r="O43">
        <v>140661</v>
      </c>
    </row>
    <row r="44" spans="1:15" x14ac:dyDescent="0.35">
      <c r="A44" t="s">
        <v>15</v>
      </c>
      <c r="B44" t="s">
        <v>16</v>
      </c>
      <c r="C44" t="s">
        <v>17</v>
      </c>
      <c r="D44" t="s">
        <v>253</v>
      </c>
      <c r="E44" t="s">
        <v>254</v>
      </c>
      <c r="F44" t="s">
        <v>47</v>
      </c>
      <c r="G44" t="s">
        <v>150</v>
      </c>
      <c r="H44" t="s">
        <v>57</v>
      </c>
      <c r="I44" t="s">
        <v>23</v>
      </c>
      <c r="J44" s="1">
        <v>26040</v>
      </c>
      <c r="K44" t="s">
        <v>23</v>
      </c>
      <c r="L44" t="s">
        <v>255</v>
      </c>
      <c r="M44" t="s">
        <v>256</v>
      </c>
      <c r="N44">
        <v>8</v>
      </c>
      <c r="O44">
        <v>73739</v>
      </c>
    </row>
    <row r="45" spans="1:15" x14ac:dyDescent="0.35">
      <c r="A45" t="s">
        <v>15</v>
      </c>
      <c r="B45" t="s">
        <v>16</v>
      </c>
      <c r="C45" t="s">
        <v>17</v>
      </c>
      <c r="D45" t="s">
        <v>257</v>
      </c>
      <c r="E45" t="s">
        <v>258</v>
      </c>
      <c r="F45" t="s">
        <v>85</v>
      </c>
      <c r="G45" t="s">
        <v>90</v>
      </c>
      <c r="H45" t="s">
        <v>41</v>
      </c>
      <c r="I45" t="s">
        <v>23</v>
      </c>
      <c r="J45" s="1">
        <v>5050</v>
      </c>
      <c r="K45" t="s">
        <v>259</v>
      </c>
      <c r="L45" t="s">
        <v>260</v>
      </c>
      <c r="M45" t="s">
        <v>60</v>
      </c>
      <c r="N45">
        <v>6</v>
      </c>
      <c r="O45">
        <v>152074.5</v>
      </c>
    </row>
    <row r="46" spans="1:15" x14ac:dyDescent="0.35">
      <c r="A46" t="s">
        <v>15</v>
      </c>
      <c r="B46" t="s">
        <v>16</v>
      </c>
      <c r="C46" t="s">
        <v>36</v>
      </c>
      <c r="D46" t="s">
        <v>261</v>
      </c>
      <c r="E46" t="s">
        <v>54</v>
      </c>
      <c r="F46" t="s">
        <v>125</v>
      </c>
      <c r="G46" t="s">
        <v>262</v>
      </c>
      <c r="H46" t="s">
        <v>41</v>
      </c>
      <c r="I46" t="s">
        <v>58</v>
      </c>
      <c r="J46">
        <v>990</v>
      </c>
      <c r="K46" t="s">
        <v>263</v>
      </c>
      <c r="L46" t="s">
        <v>264</v>
      </c>
      <c r="M46" t="s">
        <v>60</v>
      </c>
      <c r="N46">
        <v>14</v>
      </c>
      <c r="O46">
        <v>228515</v>
      </c>
    </row>
    <row r="47" spans="1:15" x14ac:dyDescent="0.35">
      <c r="A47" t="s">
        <v>15</v>
      </c>
      <c r="B47" t="s">
        <v>16</v>
      </c>
      <c r="C47" t="s">
        <v>61</v>
      </c>
      <c r="D47" t="s">
        <v>265</v>
      </c>
      <c r="E47" t="s">
        <v>63</v>
      </c>
      <c r="F47" t="s">
        <v>47</v>
      </c>
      <c r="G47" t="s">
        <v>197</v>
      </c>
      <c r="H47" t="s">
        <v>57</v>
      </c>
      <c r="I47" t="s">
        <v>23</v>
      </c>
      <c r="J47" s="1">
        <v>2290</v>
      </c>
      <c r="K47" t="s">
        <v>23</v>
      </c>
      <c r="L47" t="s">
        <v>266</v>
      </c>
      <c r="M47" t="s">
        <v>267</v>
      </c>
      <c r="N47">
        <v>8</v>
      </c>
      <c r="O47">
        <v>148423.5</v>
      </c>
    </row>
    <row r="48" spans="1:15" x14ac:dyDescent="0.35">
      <c r="A48" t="s">
        <v>75</v>
      </c>
      <c r="B48" t="s">
        <v>16</v>
      </c>
      <c r="C48" t="s">
        <v>61</v>
      </c>
      <c r="D48" t="s">
        <v>177</v>
      </c>
      <c r="E48" t="s">
        <v>268</v>
      </c>
      <c r="F48" t="s">
        <v>30</v>
      </c>
      <c r="G48" t="s">
        <v>179</v>
      </c>
      <c r="H48" t="s">
        <v>41</v>
      </c>
      <c r="I48" t="s">
        <v>58</v>
      </c>
      <c r="J48" s="1">
        <v>3810</v>
      </c>
      <c r="K48" t="s">
        <v>58</v>
      </c>
      <c r="L48" t="s">
        <v>269</v>
      </c>
      <c r="M48" t="s">
        <v>270</v>
      </c>
      <c r="N48">
        <v>15</v>
      </c>
      <c r="O48">
        <v>194619.5</v>
      </c>
    </row>
    <row r="49" spans="1:15" x14ac:dyDescent="0.35">
      <c r="A49" t="s">
        <v>15</v>
      </c>
      <c r="B49" t="s">
        <v>16</v>
      </c>
      <c r="C49" t="s">
        <v>17</v>
      </c>
      <c r="D49" t="s">
        <v>271</v>
      </c>
      <c r="E49" t="s">
        <v>272</v>
      </c>
      <c r="F49" t="s">
        <v>47</v>
      </c>
      <c r="G49" t="s">
        <v>150</v>
      </c>
      <c r="H49" t="s">
        <v>41</v>
      </c>
      <c r="I49" t="s">
        <v>23</v>
      </c>
      <c r="J49" s="1">
        <v>24040</v>
      </c>
      <c r="K49" t="s">
        <v>23</v>
      </c>
      <c r="L49" t="s">
        <v>273</v>
      </c>
      <c r="M49" t="s">
        <v>274</v>
      </c>
      <c r="N49">
        <v>8</v>
      </c>
      <c r="O49">
        <v>132617.5</v>
      </c>
    </row>
    <row r="50" spans="1:15" x14ac:dyDescent="0.35">
      <c r="A50" t="s">
        <v>15</v>
      </c>
      <c r="B50" t="s">
        <v>27</v>
      </c>
      <c r="C50" t="s">
        <v>36</v>
      </c>
      <c r="D50" t="s">
        <v>275</v>
      </c>
      <c r="E50" t="s">
        <v>276</v>
      </c>
      <c r="F50" t="s">
        <v>277</v>
      </c>
      <c r="G50" t="s">
        <v>204</v>
      </c>
      <c r="H50" t="s">
        <v>41</v>
      </c>
      <c r="I50" t="s">
        <v>58</v>
      </c>
      <c r="J50">
        <v>46</v>
      </c>
      <c r="K50" t="s">
        <v>58</v>
      </c>
      <c r="L50" t="s">
        <v>278</v>
      </c>
      <c r="M50" t="s">
        <v>60</v>
      </c>
      <c r="N50">
        <v>12</v>
      </c>
      <c r="O50">
        <v>219203</v>
      </c>
    </row>
    <row r="51" spans="1:15" x14ac:dyDescent="0.35">
      <c r="A51" t="s">
        <v>15</v>
      </c>
      <c r="B51" t="s">
        <v>16</v>
      </c>
      <c r="C51" t="s">
        <v>61</v>
      </c>
      <c r="D51" t="s">
        <v>279</v>
      </c>
      <c r="E51" t="s">
        <v>280</v>
      </c>
      <c r="F51" t="s">
        <v>64</v>
      </c>
      <c r="G51" t="s">
        <v>204</v>
      </c>
      <c r="H51" t="s">
        <v>41</v>
      </c>
      <c r="I51" t="s">
        <v>58</v>
      </c>
      <c r="J51">
        <v>330</v>
      </c>
      <c r="K51" t="s">
        <v>166</v>
      </c>
      <c r="L51" t="s">
        <v>281</v>
      </c>
      <c r="M51" t="s">
        <v>282</v>
      </c>
      <c r="N51">
        <v>3</v>
      </c>
      <c r="O51">
        <v>77184</v>
      </c>
    </row>
    <row r="52" spans="1:15" x14ac:dyDescent="0.35">
      <c r="A52" t="s">
        <v>15</v>
      </c>
      <c r="B52" t="s">
        <v>16</v>
      </c>
      <c r="C52" t="s">
        <v>36</v>
      </c>
      <c r="D52" t="s">
        <v>283</v>
      </c>
      <c r="E52" t="s">
        <v>54</v>
      </c>
      <c r="F52" t="s">
        <v>64</v>
      </c>
      <c r="G52" t="s">
        <v>284</v>
      </c>
      <c r="H52" t="s">
        <v>41</v>
      </c>
      <c r="I52" t="s">
        <v>58</v>
      </c>
      <c r="J52">
        <v>5</v>
      </c>
      <c r="K52" t="s">
        <v>58</v>
      </c>
      <c r="L52" t="s">
        <v>285</v>
      </c>
      <c r="M52" t="s">
        <v>60</v>
      </c>
      <c r="N52">
        <v>3</v>
      </c>
      <c r="O52">
        <v>157556.5</v>
      </c>
    </row>
    <row r="53" spans="1:15" x14ac:dyDescent="0.35">
      <c r="A53" t="s">
        <v>15</v>
      </c>
      <c r="B53" t="s">
        <v>16</v>
      </c>
      <c r="C53" t="s">
        <v>36</v>
      </c>
      <c r="D53" t="s">
        <v>286</v>
      </c>
      <c r="E53" t="s">
        <v>287</v>
      </c>
      <c r="F53" t="s">
        <v>237</v>
      </c>
      <c r="G53" t="s">
        <v>90</v>
      </c>
      <c r="H53" t="s">
        <v>57</v>
      </c>
      <c r="I53" t="s">
        <v>58</v>
      </c>
      <c r="J53">
        <v>950</v>
      </c>
      <c r="K53" t="s">
        <v>288</v>
      </c>
      <c r="L53" t="s">
        <v>289</v>
      </c>
      <c r="M53" t="s">
        <v>60</v>
      </c>
      <c r="N53">
        <v>20</v>
      </c>
      <c r="O53">
        <v>246599</v>
      </c>
    </row>
    <row r="54" spans="1:15" x14ac:dyDescent="0.35">
      <c r="A54" t="s">
        <v>15</v>
      </c>
      <c r="B54" t="s">
        <v>52</v>
      </c>
      <c r="C54" t="s">
        <v>61</v>
      </c>
      <c r="D54" t="s">
        <v>290</v>
      </c>
      <c r="E54" t="s">
        <v>291</v>
      </c>
      <c r="F54" t="s">
        <v>292</v>
      </c>
      <c r="G54" t="s">
        <v>169</v>
      </c>
      <c r="H54" t="s">
        <v>41</v>
      </c>
      <c r="I54" t="s">
        <v>58</v>
      </c>
      <c r="J54">
        <v>750</v>
      </c>
      <c r="K54" t="s">
        <v>293</v>
      </c>
      <c r="L54" t="s">
        <v>294</v>
      </c>
      <c r="M54" t="s">
        <v>60</v>
      </c>
      <c r="N54">
        <v>5</v>
      </c>
      <c r="O54">
        <v>41302</v>
      </c>
    </row>
    <row r="55" spans="1:15" x14ac:dyDescent="0.35">
      <c r="A55" t="s">
        <v>15</v>
      </c>
      <c r="B55" t="s">
        <v>16</v>
      </c>
      <c r="C55" t="s">
        <v>17</v>
      </c>
      <c r="D55" t="s">
        <v>295</v>
      </c>
      <c r="E55" t="s">
        <v>296</v>
      </c>
      <c r="F55" t="s">
        <v>196</v>
      </c>
      <c r="G55" t="s">
        <v>297</v>
      </c>
      <c r="H55" t="s">
        <v>41</v>
      </c>
      <c r="I55" t="s">
        <v>23</v>
      </c>
      <c r="J55" s="1">
        <v>23860</v>
      </c>
      <c r="K55" t="s">
        <v>298</v>
      </c>
      <c r="L55" t="s">
        <v>299</v>
      </c>
      <c r="M55" t="s">
        <v>300</v>
      </c>
      <c r="N55">
        <v>7</v>
      </c>
      <c r="O55">
        <v>77161</v>
      </c>
    </row>
    <row r="56" spans="1:15" x14ac:dyDescent="0.35">
      <c r="A56" t="s">
        <v>15</v>
      </c>
      <c r="B56" t="s">
        <v>16</v>
      </c>
      <c r="C56" t="s">
        <v>36</v>
      </c>
      <c r="D56" t="s">
        <v>301</v>
      </c>
      <c r="E56" t="s">
        <v>302</v>
      </c>
      <c r="F56" t="s">
        <v>64</v>
      </c>
      <c r="G56" t="s">
        <v>303</v>
      </c>
      <c r="H56" t="s">
        <v>41</v>
      </c>
      <c r="I56" t="s">
        <v>23</v>
      </c>
      <c r="J56" s="1">
        <v>28840</v>
      </c>
      <c r="K56" t="s">
        <v>23</v>
      </c>
      <c r="L56" t="s">
        <v>304</v>
      </c>
      <c r="M56" t="s">
        <v>305</v>
      </c>
      <c r="N56">
        <v>3</v>
      </c>
      <c r="O56">
        <v>103554.5</v>
      </c>
    </row>
    <row r="57" spans="1:15" x14ac:dyDescent="0.35">
      <c r="A57" t="s">
        <v>15</v>
      </c>
      <c r="B57" t="s">
        <v>99</v>
      </c>
      <c r="C57" t="s">
        <v>61</v>
      </c>
      <c r="D57" t="s">
        <v>306</v>
      </c>
      <c r="E57" t="s">
        <v>307</v>
      </c>
      <c r="F57" t="s">
        <v>47</v>
      </c>
      <c r="G57" t="s">
        <v>308</v>
      </c>
      <c r="H57" t="s">
        <v>73</v>
      </c>
      <c r="I57" t="s">
        <v>61</v>
      </c>
      <c r="J57" s="1">
        <v>10933</v>
      </c>
      <c r="K57" t="s">
        <v>73</v>
      </c>
      <c r="L57" t="s">
        <v>309</v>
      </c>
      <c r="M57" t="s">
        <v>60</v>
      </c>
      <c r="N57">
        <v>8</v>
      </c>
      <c r="O57">
        <v>31175</v>
      </c>
    </row>
    <row r="58" spans="1:15" x14ac:dyDescent="0.35">
      <c r="A58" t="s">
        <v>15</v>
      </c>
      <c r="B58" t="s">
        <v>99</v>
      </c>
      <c r="C58" t="s">
        <v>82</v>
      </c>
      <c r="D58" t="s">
        <v>310</v>
      </c>
      <c r="E58" t="s">
        <v>311</v>
      </c>
      <c r="F58" t="s">
        <v>312</v>
      </c>
      <c r="G58" t="s">
        <v>313</v>
      </c>
      <c r="H58" t="s">
        <v>32</v>
      </c>
      <c r="I58" t="s">
        <v>23</v>
      </c>
      <c r="J58" s="1">
        <v>99620</v>
      </c>
      <c r="K58" t="s">
        <v>314</v>
      </c>
      <c r="L58" t="s">
        <v>315</v>
      </c>
      <c r="M58" t="s">
        <v>316</v>
      </c>
      <c r="N58">
        <v>4</v>
      </c>
      <c r="O58">
        <v>58894</v>
      </c>
    </row>
    <row r="59" spans="1:15" x14ac:dyDescent="0.35">
      <c r="A59" t="s">
        <v>75</v>
      </c>
      <c r="B59" t="s">
        <v>16</v>
      </c>
      <c r="C59" t="s">
        <v>61</v>
      </c>
      <c r="D59" t="s">
        <v>317</v>
      </c>
      <c r="E59" t="s">
        <v>318</v>
      </c>
      <c r="F59" t="s">
        <v>312</v>
      </c>
      <c r="G59" t="s">
        <v>319</v>
      </c>
      <c r="H59" t="s">
        <v>320</v>
      </c>
      <c r="I59" t="s">
        <v>58</v>
      </c>
      <c r="J59" s="1">
        <v>38090</v>
      </c>
      <c r="K59" t="s">
        <v>321</v>
      </c>
      <c r="L59" t="s">
        <v>322</v>
      </c>
      <c r="M59" t="s">
        <v>323</v>
      </c>
      <c r="N59">
        <v>4</v>
      </c>
      <c r="O59">
        <v>26757</v>
      </c>
    </row>
    <row r="60" spans="1:15" x14ac:dyDescent="0.35">
      <c r="A60" t="s">
        <v>15</v>
      </c>
      <c r="B60" t="s">
        <v>16</v>
      </c>
      <c r="C60" t="s">
        <v>61</v>
      </c>
      <c r="D60" t="s">
        <v>265</v>
      </c>
      <c r="E60" t="s">
        <v>324</v>
      </c>
      <c r="F60" t="s">
        <v>47</v>
      </c>
      <c r="G60" t="s">
        <v>197</v>
      </c>
      <c r="H60" t="s">
        <v>57</v>
      </c>
      <c r="I60" t="s">
        <v>23</v>
      </c>
      <c r="J60" s="1">
        <v>2300</v>
      </c>
      <c r="K60" t="s">
        <v>23</v>
      </c>
      <c r="L60" t="s">
        <v>325</v>
      </c>
      <c r="M60" t="s">
        <v>267</v>
      </c>
      <c r="N60">
        <v>8</v>
      </c>
      <c r="O60">
        <v>148421.5</v>
      </c>
    </row>
    <row r="61" spans="1:15" x14ac:dyDescent="0.35">
      <c r="A61" t="s">
        <v>15</v>
      </c>
      <c r="B61" t="s">
        <v>16</v>
      </c>
      <c r="C61" t="s">
        <v>36</v>
      </c>
      <c r="D61" t="s">
        <v>326</v>
      </c>
      <c r="E61" t="s">
        <v>287</v>
      </c>
      <c r="F61" t="s">
        <v>39</v>
      </c>
      <c r="G61" t="s">
        <v>90</v>
      </c>
      <c r="H61" t="s">
        <v>41</v>
      </c>
      <c r="I61" t="s">
        <v>58</v>
      </c>
      <c r="J61">
        <v>420</v>
      </c>
      <c r="K61" t="s">
        <v>327</v>
      </c>
      <c r="L61" t="s">
        <v>328</v>
      </c>
      <c r="M61" t="s">
        <v>60</v>
      </c>
      <c r="O61">
        <v>148808</v>
      </c>
    </row>
    <row r="62" spans="1:15" x14ac:dyDescent="0.35">
      <c r="A62" t="s">
        <v>15</v>
      </c>
      <c r="B62" t="s">
        <v>27</v>
      </c>
      <c r="C62" t="s">
        <v>36</v>
      </c>
      <c r="D62" t="s">
        <v>329</v>
      </c>
      <c r="E62" t="s">
        <v>330</v>
      </c>
      <c r="F62" t="s">
        <v>47</v>
      </c>
      <c r="G62" t="s">
        <v>331</v>
      </c>
      <c r="H62" t="s">
        <v>22</v>
      </c>
      <c r="I62" t="s">
        <v>23</v>
      </c>
      <c r="J62" s="1">
        <v>118910</v>
      </c>
      <c r="K62" t="s">
        <v>23</v>
      </c>
      <c r="L62" t="s">
        <v>332</v>
      </c>
      <c r="M62" t="s">
        <v>333</v>
      </c>
      <c r="N62">
        <v>8</v>
      </c>
      <c r="O62">
        <v>147784</v>
      </c>
    </row>
    <row r="63" spans="1:15" x14ac:dyDescent="0.35">
      <c r="A63" t="s">
        <v>15</v>
      </c>
      <c r="B63" t="s">
        <v>16</v>
      </c>
      <c r="C63" t="s">
        <v>17</v>
      </c>
      <c r="D63" t="s">
        <v>334</v>
      </c>
      <c r="E63" t="s">
        <v>335</v>
      </c>
      <c r="F63" t="s">
        <v>39</v>
      </c>
      <c r="G63" t="s">
        <v>336</v>
      </c>
      <c r="H63" t="s">
        <v>57</v>
      </c>
      <c r="I63" t="s">
        <v>23</v>
      </c>
      <c r="J63" s="1">
        <v>68400</v>
      </c>
      <c r="K63" t="s">
        <v>23</v>
      </c>
      <c r="L63" t="s">
        <v>337</v>
      </c>
      <c r="M63" t="s">
        <v>338</v>
      </c>
      <c r="O63">
        <v>24205</v>
      </c>
    </row>
    <row r="64" spans="1:15" x14ac:dyDescent="0.35">
      <c r="A64" t="s">
        <v>15</v>
      </c>
      <c r="B64" t="s">
        <v>16</v>
      </c>
      <c r="C64" t="s">
        <v>61</v>
      </c>
      <c r="D64" t="s">
        <v>339</v>
      </c>
      <c r="E64" t="s">
        <v>340</v>
      </c>
      <c r="F64" t="s">
        <v>341</v>
      </c>
      <c r="G64" t="s">
        <v>342</v>
      </c>
      <c r="H64" t="s">
        <v>41</v>
      </c>
      <c r="I64" t="s">
        <v>23</v>
      </c>
      <c r="J64" s="1">
        <v>187540</v>
      </c>
      <c r="K64" t="s">
        <v>343</v>
      </c>
      <c r="L64" t="s">
        <v>344</v>
      </c>
      <c r="M64" t="s">
        <v>345</v>
      </c>
      <c r="N64">
        <v>2</v>
      </c>
      <c r="O64">
        <v>13886</v>
      </c>
    </row>
    <row r="65" spans="1:15" x14ac:dyDescent="0.35">
      <c r="A65" t="s">
        <v>15</v>
      </c>
      <c r="B65" t="s">
        <v>16</v>
      </c>
      <c r="C65" t="s">
        <v>36</v>
      </c>
      <c r="D65" t="s">
        <v>346</v>
      </c>
      <c r="E65" t="s">
        <v>347</v>
      </c>
      <c r="F65" t="s">
        <v>30</v>
      </c>
      <c r="G65" t="s">
        <v>348</v>
      </c>
      <c r="H65" t="s">
        <v>57</v>
      </c>
      <c r="I65" t="s">
        <v>23</v>
      </c>
      <c r="J65" s="1">
        <v>3810</v>
      </c>
      <c r="K65" t="s">
        <v>349</v>
      </c>
      <c r="L65" t="s">
        <v>350</v>
      </c>
      <c r="M65" t="s">
        <v>60</v>
      </c>
      <c r="N65">
        <v>15</v>
      </c>
      <c r="O65">
        <v>177647.5</v>
      </c>
    </row>
    <row r="66" spans="1:15" x14ac:dyDescent="0.35">
      <c r="A66" t="s">
        <v>15</v>
      </c>
      <c r="B66" t="s">
        <v>99</v>
      </c>
      <c r="C66" t="s">
        <v>61</v>
      </c>
      <c r="D66" t="s">
        <v>70</v>
      </c>
      <c r="E66" t="s">
        <v>71</v>
      </c>
      <c r="F66" t="s">
        <v>30</v>
      </c>
      <c r="G66" t="s">
        <v>72</v>
      </c>
      <c r="H66" t="s">
        <v>73</v>
      </c>
      <c r="I66" t="s">
        <v>61</v>
      </c>
      <c r="J66" s="1">
        <v>17451</v>
      </c>
      <c r="K66" t="s">
        <v>73</v>
      </c>
      <c r="L66" t="s">
        <v>351</v>
      </c>
      <c r="M66" t="s">
        <v>352</v>
      </c>
      <c r="N66">
        <v>15</v>
      </c>
      <c r="O66">
        <v>102167</v>
      </c>
    </row>
    <row r="67" spans="1:15" x14ac:dyDescent="0.35">
      <c r="A67" t="s">
        <v>15</v>
      </c>
      <c r="B67" t="s">
        <v>16</v>
      </c>
      <c r="C67" t="s">
        <v>82</v>
      </c>
      <c r="D67" t="s">
        <v>353</v>
      </c>
      <c r="E67" t="s">
        <v>354</v>
      </c>
      <c r="F67" t="s">
        <v>39</v>
      </c>
      <c r="G67" t="s">
        <v>90</v>
      </c>
      <c r="H67" t="s">
        <v>41</v>
      </c>
      <c r="I67" t="s">
        <v>58</v>
      </c>
      <c r="J67" s="1">
        <v>1290</v>
      </c>
      <c r="K67" t="s">
        <v>355</v>
      </c>
      <c r="L67" t="s">
        <v>356</v>
      </c>
      <c r="M67" t="s">
        <v>60</v>
      </c>
      <c r="O67">
        <v>154314.5</v>
      </c>
    </row>
    <row r="68" spans="1:15" x14ac:dyDescent="0.35">
      <c r="A68" t="s">
        <v>15</v>
      </c>
      <c r="B68" t="s">
        <v>16</v>
      </c>
      <c r="C68" t="s">
        <v>36</v>
      </c>
      <c r="D68" t="s">
        <v>301</v>
      </c>
      <c r="E68" t="s">
        <v>302</v>
      </c>
      <c r="F68" t="s">
        <v>64</v>
      </c>
      <c r="G68" t="s">
        <v>303</v>
      </c>
      <c r="H68" t="s">
        <v>41</v>
      </c>
      <c r="I68" t="s">
        <v>23</v>
      </c>
      <c r="J68" s="1">
        <v>28810</v>
      </c>
      <c r="K68" t="s">
        <v>23</v>
      </c>
      <c r="L68" t="s">
        <v>357</v>
      </c>
      <c r="M68" t="s">
        <v>305</v>
      </c>
      <c r="N68">
        <v>3</v>
      </c>
      <c r="O68">
        <v>103558.5</v>
      </c>
    </row>
    <row r="69" spans="1:15" x14ac:dyDescent="0.35">
      <c r="A69" t="s">
        <v>15</v>
      </c>
      <c r="B69" t="s">
        <v>16</v>
      </c>
      <c r="C69" t="s">
        <v>82</v>
      </c>
      <c r="D69" t="s">
        <v>223</v>
      </c>
      <c r="E69" t="s">
        <v>358</v>
      </c>
      <c r="F69" t="s">
        <v>312</v>
      </c>
      <c r="G69" t="s">
        <v>90</v>
      </c>
      <c r="H69" t="s">
        <v>41</v>
      </c>
      <c r="I69" t="s">
        <v>23</v>
      </c>
      <c r="J69" s="1">
        <v>5320</v>
      </c>
      <c r="K69" t="s">
        <v>359</v>
      </c>
      <c r="L69" t="s">
        <v>360</v>
      </c>
      <c r="M69" t="s">
        <v>60</v>
      </c>
      <c r="N69">
        <v>4</v>
      </c>
      <c r="O69">
        <v>306623</v>
      </c>
    </row>
    <row r="70" spans="1:15" x14ac:dyDescent="0.35">
      <c r="A70" t="s">
        <v>15</v>
      </c>
      <c r="B70" t="s">
        <v>16</v>
      </c>
      <c r="C70" t="s">
        <v>61</v>
      </c>
      <c r="D70" t="s">
        <v>361</v>
      </c>
      <c r="E70" t="s">
        <v>228</v>
      </c>
      <c r="F70" t="s">
        <v>30</v>
      </c>
      <c r="G70" t="s">
        <v>90</v>
      </c>
      <c r="H70" t="s">
        <v>57</v>
      </c>
      <c r="I70" t="s">
        <v>58</v>
      </c>
      <c r="J70">
        <v>30</v>
      </c>
      <c r="K70" t="s">
        <v>58</v>
      </c>
      <c r="L70" t="s">
        <v>362</v>
      </c>
      <c r="M70" t="s">
        <v>60</v>
      </c>
      <c r="N70">
        <v>15</v>
      </c>
      <c r="O70">
        <v>28501</v>
      </c>
    </row>
    <row r="71" spans="1:15" x14ac:dyDescent="0.35">
      <c r="A71" t="s">
        <v>15</v>
      </c>
      <c r="B71" t="s">
        <v>16</v>
      </c>
      <c r="C71" t="s">
        <v>82</v>
      </c>
      <c r="D71" t="s">
        <v>88</v>
      </c>
      <c r="E71" t="s">
        <v>84</v>
      </c>
      <c r="F71" t="s">
        <v>89</v>
      </c>
      <c r="G71" t="s">
        <v>90</v>
      </c>
      <c r="H71" t="s">
        <v>41</v>
      </c>
      <c r="I71" t="s">
        <v>23</v>
      </c>
      <c r="J71" s="1">
        <v>5550</v>
      </c>
      <c r="K71" t="s">
        <v>363</v>
      </c>
      <c r="L71" t="s">
        <v>364</v>
      </c>
      <c r="M71" t="s">
        <v>60</v>
      </c>
      <c r="O71">
        <v>255732</v>
      </c>
    </row>
    <row r="72" spans="1:15" x14ac:dyDescent="0.35">
      <c r="A72" t="s">
        <v>15</v>
      </c>
      <c r="B72" t="s">
        <v>52</v>
      </c>
      <c r="C72" t="s">
        <v>82</v>
      </c>
      <c r="D72" t="s">
        <v>365</v>
      </c>
      <c r="E72" t="s">
        <v>84</v>
      </c>
      <c r="F72" t="s">
        <v>47</v>
      </c>
      <c r="G72" t="s">
        <v>65</v>
      </c>
      <c r="H72" t="s">
        <v>57</v>
      </c>
      <c r="I72" t="s">
        <v>58</v>
      </c>
      <c r="J72">
        <v>45</v>
      </c>
      <c r="K72" t="s">
        <v>58</v>
      </c>
      <c r="L72" t="s">
        <v>366</v>
      </c>
      <c r="M72" t="s">
        <v>60</v>
      </c>
      <c r="N72">
        <v>8</v>
      </c>
      <c r="O72">
        <v>159834</v>
      </c>
    </row>
    <row r="73" spans="1:15" x14ac:dyDescent="0.35">
      <c r="A73" t="s">
        <v>15</v>
      </c>
      <c r="B73" t="s">
        <v>16</v>
      </c>
      <c r="C73" t="s">
        <v>61</v>
      </c>
      <c r="D73" t="s">
        <v>93</v>
      </c>
      <c r="E73" t="s">
        <v>367</v>
      </c>
      <c r="F73" t="s">
        <v>196</v>
      </c>
      <c r="G73" t="s">
        <v>95</v>
      </c>
      <c r="H73" t="s">
        <v>41</v>
      </c>
      <c r="I73" t="s">
        <v>23</v>
      </c>
      <c r="J73" s="1">
        <v>103070</v>
      </c>
      <c r="K73" t="s">
        <v>368</v>
      </c>
      <c r="L73" t="s">
        <v>369</v>
      </c>
      <c r="M73" t="s">
        <v>370</v>
      </c>
      <c r="N73">
        <v>7</v>
      </c>
      <c r="O73">
        <v>96819</v>
      </c>
    </row>
    <row r="74" spans="1:15" x14ac:dyDescent="0.35">
      <c r="A74" t="s">
        <v>15</v>
      </c>
      <c r="B74" t="s">
        <v>16</v>
      </c>
      <c r="C74" t="s">
        <v>36</v>
      </c>
      <c r="D74" t="s">
        <v>371</v>
      </c>
      <c r="E74" t="s">
        <v>372</v>
      </c>
      <c r="F74" t="s">
        <v>39</v>
      </c>
      <c r="G74" t="s">
        <v>204</v>
      </c>
      <c r="H74" t="s">
        <v>22</v>
      </c>
      <c r="I74" t="s">
        <v>23</v>
      </c>
      <c r="J74" s="1">
        <v>865416</v>
      </c>
      <c r="K74" t="s">
        <v>373</v>
      </c>
      <c r="L74" t="s">
        <v>92</v>
      </c>
      <c r="M74" t="s">
        <v>374</v>
      </c>
      <c r="O74">
        <v>219201</v>
      </c>
    </row>
    <row r="75" spans="1:15" x14ac:dyDescent="0.35">
      <c r="A75" t="s">
        <v>75</v>
      </c>
      <c r="B75" t="s">
        <v>52</v>
      </c>
      <c r="C75" t="s">
        <v>36</v>
      </c>
      <c r="D75" t="s">
        <v>375</v>
      </c>
      <c r="E75" t="s">
        <v>376</v>
      </c>
      <c r="F75" t="s">
        <v>89</v>
      </c>
      <c r="G75" t="s">
        <v>377</v>
      </c>
      <c r="H75" t="s">
        <v>41</v>
      </c>
      <c r="I75" t="s">
        <v>58</v>
      </c>
      <c r="J75">
        <v>530</v>
      </c>
      <c r="K75" t="s">
        <v>58</v>
      </c>
      <c r="L75" t="s">
        <v>378</v>
      </c>
      <c r="M75" t="s">
        <v>60</v>
      </c>
      <c r="O75">
        <v>36340</v>
      </c>
    </row>
    <row r="76" spans="1:15" x14ac:dyDescent="0.35">
      <c r="A76" t="s">
        <v>15</v>
      </c>
      <c r="B76" t="s">
        <v>16</v>
      </c>
      <c r="C76" t="s">
        <v>17</v>
      </c>
      <c r="D76" t="s">
        <v>379</v>
      </c>
      <c r="E76" t="s">
        <v>380</v>
      </c>
      <c r="F76" t="s">
        <v>39</v>
      </c>
      <c r="G76" t="s">
        <v>381</v>
      </c>
      <c r="H76" t="s">
        <v>41</v>
      </c>
      <c r="I76" t="s">
        <v>58</v>
      </c>
      <c r="J76">
        <v>900</v>
      </c>
      <c r="K76" t="s">
        <v>166</v>
      </c>
      <c r="L76" t="s">
        <v>382</v>
      </c>
      <c r="M76" t="s">
        <v>383</v>
      </c>
      <c r="O76">
        <v>138833</v>
      </c>
    </row>
    <row r="77" spans="1:15" x14ac:dyDescent="0.35">
      <c r="A77" t="s">
        <v>15</v>
      </c>
      <c r="B77" t="s">
        <v>16</v>
      </c>
      <c r="C77" t="s">
        <v>82</v>
      </c>
      <c r="D77" t="s">
        <v>384</v>
      </c>
      <c r="E77" t="s">
        <v>385</v>
      </c>
      <c r="F77" t="s">
        <v>39</v>
      </c>
      <c r="G77" t="s">
        <v>386</v>
      </c>
      <c r="H77" t="s">
        <v>41</v>
      </c>
      <c r="I77" t="s">
        <v>23</v>
      </c>
      <c r="J77" s="1">
        <v>108670</v>
      </c>
      <c r="K77" t="s">
        <v>387</v>
      </c>
      <c r="L77" t="s">
        <v>388</v>
      </c>
      <c r="M77" t="s">
        <v>81</v>
      </c>
      <c r="O77">
        <v>116453</v>
      </c>
    </row>
    <row r="78" spans="1:15" x14ac:dyDescent="0.35">
      <c r="A78" t="s">
        <v>15</v>
      </c>
      <c r="B78" t="s">
        <v>16</v>
      </c>
      <c r="C78" t="s">
        <v>17</v>
      </c>
      <c r="D78" t="s">
        <v>389</v>
      </c>
      <c r="E78" t="s">
        <v>390</v>
      </c>
      <c r="F78" t="s">
        <v>89</v>
      </c>
      <c r="G78" t="s">
        <v>48</v>
      </c>
      <c r="H78" t="s">
        <v>41</v>
      </c>
      <c r="I78" t="s">
        <v>23</v>
      </c>
      <c r="J78" s="1">
        <v>2760</v>
      </c>
      <c r="K78" t="s">
        <v>23</v>
      </c>
      <c r="L78" t="s">
        <v>391</v>
      </c>
      <c r="M78" t="s">
        <v>60</v>
      </c>
      <c r="O78">
        <v>200936</v>
      </c>
    </row>
    <row r="79" spans="1:15" x14ac:dyDescent="0.35">
      <c r="A79" t="s">
        <v>15</v>
      </c>
      <c r="B79" t="s">
        <v>16</v>
      </c>
      <c r="C79" t="s">
        <v>17</v>
      </c>
      <c r="D79" t="s">
        <v>392</v>
      </c>
      <c r="E79" t="s">
        <v>393</v>
      </c>
      <c r="F79" t="s">
        <v>394</v>
      </c>
      <c r="G79" t="s">
        <v>90</v>
      </c>
      <c r="H79" t="s">
        <v>57</v>
      </c>
      <c r="I79" t="s">
        <v>58</v>
      </c>
      <c r="J79">
        <v>780</v>
      </c>
      <c r="K79" t="s">
        <v>395</v>
      </c>
      <c r="L79" t="s">
        <v>396</v>
      </c>
      <c r="M79" t="s">
        <v>60</v>
      </c>
      <c r="N79">
        <v>11</v>
      </c>
      <c r="O79">
        <v>182211.5</v>
      </c>
    </row>
    <row r="80" spans="1:15" x14ac:dyDescent="0.35">
      <c r="A80" t="s">
        <v>15</v>
      </c>
      <c r="B80" t="s">
        <v>16</v>
      </c>
      <c r="C80" t="s">
        <v>61</v>
      </c>
      <c r="D80" t="s">
        <v>397</v>
      </c>
      <c r="E80" t="s">
        <v>398</v>
      </c>
      <c r="F80" t="s">
        <v>399</v>
      </c>
      <c r="G80" t="s">
        <v>95</v>
      </c>
      <c r="H80" t="s">
        <v>57</v>
      </c>
      <c r="I80" t="s">
        <v>23</v>
      </c>
      <c r="J80" s="1">
        <v>14090</v>
      </c>
      <c r="K80" t="s">
        <v>400</v>
      </c>
      <c r="L80" t="s">
        <v>401</v>
      </c>
      <c r="M80" t="s">
        <v>402</v>
      </c>
      <c r="N80">
        <v>5</v>
      </c>
      <c r="O80">
        <v>88185</v>
      </c>
    </row>
    <row r="81" spans="1:15" x14ac:dyDescent="0.35">
      <c r="A81" t="s">
        <v>15</v>
      </c>
      <c r="B81" t="s">
        <v>16</v>
      </c>
      <c r="C81" t="s">
        <v>36</v>
      </c>
      <c r="D81" t="s">
        <v>403</v>
      </c>
      <c r="E81" t="s">
        <v>228</v>
      </c>
      <c r="F81" t="s">
        <v>30</v>
      </c>
      <c r="G81" t="s">
        <v>48</v>
      </c>
      <c r="H81" t="s">
        <v>41</v>
      </c>
      <c r="I81" t="s">
        <v>58</v>
      </c>
      <c r="J81">
        <v>900</v>
      </c>
      <c r="K81" t="s">
        <v>58</v>
      </c>
      <c r="L81" t="s">
        <v>404</v>
      </c>
      <c r="M81" t="s">
        <v>405</v>
      </c>
      <c r="N81">
        <v>15</v>
      </c>
      <c r="O81">
        <v>228792.5</v>
      </c>
    </row>
    <row r="82" spans="1:15" x14ac:dyDescent="0.35">
      <c r="A82" t="s">
        <v>15</v>
      </c>
      <c r="B82" t="s">
        <v>27</v>
      </c>
      <c r="C82" t="s">
        <v>82</v>
      </c>
      <c r="D82" t="s">
        <v>406</v>
      </c>
      <c r="E82" t="s">
        <v>407</v>
      </c>
      <c r="F82" t="s">
        <v>30</v>
      </c>
      <c r="G82" t="s">
        <v>229</v>
      </c>
      <c r="H82" t="s">
        <v>41</v>
      </c>
      <c r="I82" t="s">
        <v>23</v>
      </c>
      <c r="J82" s="1">
        <v>2570</v>
      </c>
      <c r="K82" t="s">
        <v>23</v>
      </c>
      <c r="L82" t="s">
        <v>408</v>
      </c>
      <c r="M82" t="s">
        <v>409</v>
      </c>
      <c r="N82">
        <v>15</v>
      </c>
      <c r="O82">
        <v>164399.5</v>
      </c>
    </row>
    <row r="83" spans="1:15" x14ac:dyDescent="0.35">
      <c r="A83" t="s">
        <v>75</v>
      </c>
      <c r="B83" t="s">
        <v>52</v>
      </c>
      <c r="C83" t="s">
        <v>36</v>
      </c>
      <c r="D83" t="s">
        <v>410</v>
      </c>
      <c r="E83" t="s">
        <v>411</v>
      </c>
      <c r="F83" t="s">
        <v>47</v>
      </c>
      <c r="G83" t="s">
        <v>412</v>
      </c>
      <c r="H83" t="s">
        <v>41</v>
      </c>
      <c r="I83" t="s">
        <v>58</v>
      </c>
      <c r="J83">
        <v>900</v>
      </c>
      <c r="K83" t="s">
        <v>413</v>
      </c>
      <c r="L83" t="s">
        <v>414</v>
      </c>
      <c r="M83" t="s">
        <v>60</v>
      </c>
      <c r="N83">
        <v>8</v>
      </c>
      <c r="O83">
        <v>173532.5</v>
      </c>
    </row>
    <row r="84" spans="1:15" x14ac:dyDescent="0.35">
      <c r="A84" t="s">
        <v>15</v>
      </c>
      <c r="B84" t="s">
        <v>16</v>
      </c>
      <c r="C84" t="s">
        <v>36</v>
      </c>
      <c r="D84" t="s">
        <v>415</v>
      </c>
      <c r="E84" t="s">
        <v>416</v>
      </c>
      <c r="F84" t="s">
        <v>312</v>
      </c>
      <c r="G84" t="s">
        <v>417</v>
      </c>
      <c r="H84" t="s">
        <v>41</v>
      </c>
      <c r="I84" t="s">
        <v>58</v>
      </c>
      <c r="J84" s="1">
        <v>21690</v>
      </c>
      <c r="K84" t="s">
        <v>58</v>
      </c>
      <c r="L84" t="s">
        <v>418</v>
      </c>
      <c r="M84" t="s">
        <v>419</v>
      </c>
      <c r="N84">
        <v>4</v>
      </c>
      <c r="O84">
        <v>196794.5</v>
      </c>
    </row>
    <row r="85" spans="1:15" x14ac:dyDescent="0.35">
      <c r="A85" t="s">
        <v>15</v>
      </c>
      <c r="B85" t="s">
        <v>16</v>
      </c>
      <c r="C85" t="s">
        <v>82</v>
      </c>
      <c r="D85" t="s">
        <v>420</v>
      </c>
      <c r="E85" t="s">
        <v>84</v>
      </c>
      <c r="F85" t="s">
        <v>244</v>
      </c>
      <c r="G85" t="s">
        <v>421</v>
      </c>
      <c r="H85" t="s">
        <v>41</v>
      </c>
      <c r="I85" t="s">
        <v>58</v>
      </c>
      <c r="J85">
        <v>900</v>
      </c>
      <c r="K85" t="s">
        <v>422</v>
      </c>
      <c r="L85" t="s">
        <v>423</v>
      </c>
      <c r="M85" t="s">
        <v>60</v>
      </c>
      <c r="N85">
        <v>2</v>
      </c>
      <c r="O85">
        <v>144311</v>
      </c>
    </row>
    <row r="86" spans="1:15" x14ac:dyDescent="0.35">
      <c r="A86" t="s">
        <v>15</v>
      </c>
      <c r="B86" t="s">
        <v>16</v>
      </c>
      <c r="C86" t="s">
        <v>17</v>
      </c>
      <c r="D86" t="s">
        <v>424</v>
      </c>
      <c r="E86" t="s">
        <v>425</v>
      </c>
      <c r="F86" t="s">
        <v>244</v>
      </c>
      <c r="G86" t="s">
        <v>426</v>
      </c>
      <c r="H86" t="s">
        <v>41</v>
      </c>
      <c r="I86" t="s">
        <v>58</v>
      </c>
      <c r="J86" s="1">
        <v>2010</v>
      </c>
      <c r="K86" t="s">
        <v>427</v>
      </c>
      <c r="L86" t="s">
        <v>428</v>
      </c>
      <c r="M86" t="s">
        <v>60</v>
      </c>
      <c r="N86">
        <v>2</v>
      </c>
      <c r="O86">
        <v>172619.5</v>
      </c>
    </row>
    <row r="87" spans="1:15" x14ac:dyDescent="0.35">
      <c r="A87" t="s">
        <v>15</v>
      </c>
      <c r="B87" t="s">
        <v>16</v>
      </c>
      <c r="C87" t="s">
        <v>36</v>
      </c>
      <c r="D87" t="s">
        <v>429</v>
      </c>
      <c r="E87" t="s">
        <v>430</v>
      </c>
      <c r="F87" t="s">
        <v>431</v>
      </c>
      <c r="G87" t="s">
        <v>432</v>
      </c>
      <c r="H87" t="s">
        <v>41</v>
      </c>
      <c r="I87" t="s">
        <v>23</v>
      </c>
      <c r="J87" s="1">
        <v>24780</v>
      </c>
      <c r="K87" t="s">
        <v>433</v>
      </c>
      <c r="L87" t="s">
        <v>434</v>
      </c>
      <c r="M87" t="s">
        <v>435</v>
      </c>
      <c r="N87">
        <v>21</v>
      </c>
      <c r="O87">
        <v>82371</v>
      </c>
    </row>
    <row r="88" spans="1:15" x14ac:dyDescent="0.35">
      <c r="A88" t="s">
        <v>15</v>
      </c>
      <c r="B88" t="s">
        <v>16</v>
      </c>
      <c r="C88" t="s">
        <v>82</v>
      </c>
      <c r="D88" t="s">
        <v>436</v>
      </c>
      <c r="E88" t="s">
        <v>84</v>
      </c>
      <c r="F88" t="s">
        <v>312</v>
      </c>
      <c r="G88" t="s">
        <v>90</v>
      </c>
      <c r="H88" t="s">
        <v>41</v>
      </c>
      <c r="I88" t="s">
        <v>23</v>
      </c>
      <c r="J88" s="1">
        <v>4080</v>
      </c>
      <c r="K88" t="s">
        <v>437</v>
      </c>
      <c r="L88" t="s">
        <v>438</v>
      </c>
      <c r="M88" t="s">
        <v>60</v>
      </c>
      <c r="N88">
        <v>4</v>
      </c>
      <c r="O88">
        <v>224774</v>
      </c>
    </row>
    <row r="89" spans="1:15" x14ac:dyDescent="0.35">
      <c r="A89" t="s">
        <v>15</v>
      </c>
      <c r="B89" t="s">
        <v>16</v>
      </c>
      <c r="C89" t="s">
        <v>61</v>
      </c>
      <c r="D89" t="s">
        <v>439</v>
      </c>
      <c r="E89" t="s">
        <v>440</v>
      </c>
      <c r="F89" t="s">
        <v>441</v>
      </c>
      <c r="G89" t="s">
        <v>442</v>
      </c>
      <c r="H89" t="s">
        <v>41</v>
      </c>
      <c r="I89" t="s">
        <v>23</v>
      </c>
      <c r="J89" s="1">
        <v>52060</v>
      </c>
      <c r="K89" t="s">
        <v>23</v>
      </c>
      <c r="L89" t="s">
        <v>443</v>
      </c>
      <c r="M89" t="s">
        <v>444</v>
      </c>
      <c r="N89">
        <v>10</v>
      </c>
      <c r="O89">
        <v>165320</v>
      </c>
    </row>
    <row r="90" spans="1:15" x14ac:dyDescent="0.35">
      <c r="A90" t="s">
        <v>15</v>
      </c>
      <c r="B90" t="s">
        <v>16</v>
      </c>
      <c r="C90" t="s">
        <v>61</v>
      </c>
      <c r="D90" t="s">
        <v>445</v>
      </c>
      <c r="E90" t="s">
        <v>318</v>
      </c>
      <c r="F90" t="s">
        <v>30</v>
      </c>
      <c r="G90" t="s">
        <v>446</v>
      </c>
      <c r="H90" t="s">
        <v>41</v>
      </c>
      <c r="I90" t="s">
        <v>23</v>
      </c>
      <c r="J90" s="1">
        <v>524608</v>
      </c>
      <c r="K90" t="s">
        <v>447</v>
      </c>
      <c r="L90" t="s">
        <v>448</v>
      </c>
      <c r="M90" t="s">
        <v>449</v>
      </c>
      <c r="N90">
        <v>15</v>
      </c>
      <c r="O90">
        <v>39984.5</v>
      </c>
    </row>
    <row r="91" spans="1:15" x14ac:dyDescent="0.35">
      <c r="A91" t="s">
        <v>15</v>
      </c>
      <c r="B91" t="s">
        <v>52</v>
      </c>
      <c r="C91" t="s">
        <v>36</v>
      </c>
      <c r="D91" t="s">
        <v>450</v>
      </c>
      <c r="E91" t="s">
        <v>451</v>
      </c>
      <c r="F91" t="s">
        <v>39</v>
      </c>
      <c r="G91" t="s">
        <v>452</v>
      </c>
      <c r="H91" t="s">
        <v>41</v>
      </c>
      <c r="I91" t="s">
        <v>58</v>
      </c>
      <c r="J91">
        <v>126</v>
      </c>
      <c r="K91" t="s">
        <v>58</v>
      </c>
      <c r="L91" t="s">
        <v>453</v>
      </c>
      <c r="M91" t="s">
        <v>60</v>
      </c>
      <c r="O91">
        <v>116452</v>
      </c>
    </row>
    <row r="92" spans="1:15" x14ac:dyDescent="0.35">
      <c r="A92" t="s">
        <v>15</v>
      </c>
      <c r="B92" t="s">
        <v>16</v>
      </c>
      <c r="C92" t="s">
        <v>36</v>
      </c>
      <c r="D92" t="s">
        <v>454</v>
      </c>
      <c r="E92" t="s">
        <v>54</v>
      </c>
      <c r="F92" t="s">
        <v>394</v>
      </c>
      <c r="G92" t="s">
        <v>412</v>
      </c>
      <c r="H92" t="s">
        <v>41</v>
      </c>
      <c r="I92" t="s">
        <v>23</v>
      </c>
      <c r="J92" s="1">
        <v>2790</v>
      </c>
      <c r="K92" t="s">
        <v>23</v>
      </c>
      <c r="L92" t="s">
        <v>455</v>
      </c>
      <c r="M92" t="s">
        <v>60</v>
      </c>
      <c r="N92">
        <v>11</v>
      </c>
      <c r="O92">
        <v>151301.5</v>
      </c>
    </row>
    <row r="93" spans="1:15" x14ac:dyDescent="0.35">
      <c r="A93" t="s">
        <v>15</v>
      </c>
      <c r="B93" t="s">
        <v>16</v>
      </c>
      <c r="C93" t="s">
        <v>36</v>
      </c>
      <c r="D93" t="s">
        <v>456</v>
      </c>
      <c r="E93" t="s">
        <v>457</v>
      </c>
      <c r="F93" t="s">
        <v>39</v>
      </c>
      <c r="G93" t="s">
        <v>458</v>
      </c>
      <c r="H93" t="s">
        <v>57</v>
      </c>
      <c r="I93" t="s">
        <v>23</v>
      </c>
      <c r="J93" s="1">
        <v>4010</v>
      </c>
      <c r="K93" t="s">
        <v>23</v>
      </c>
      <c r="L93" t="s">
        <v>459</v>
      </c>
      <c r="M93" t="s">
        <v>460</v>
      </c>
      <c r="O93">
        <v>166049.5</v>
      </c>
    </row>
    <row r="94" spans="1:15" x14ac:dyDescent="0.35">
      <c r="A94" t="s">
        <v>15</v>
      </c>
      <c r="B94" t="s">
        <v>16</v>
      </c>
      <c r="C94" t="s">
        <v>36</v>
      </c>
      <c r="D94" t="s">
        <v>461</v>
      </c>
      <c r="E94" t="s">
        <v>462</v>
      </c>
      <c r="F94" t="s">
        <v>55</v>
      </c>
      <c r="G94" t="s">
        <v>463</v>
      </c>
      <c r="H94" t="s">
        <v>41</v>
      </c>
      <c r="I94" t="s">
        <v>23</v>
      </c>
      <c r="J94" s="1">
        <v>10100</v>
      </c>
      <c r="K94" t="s">
        <v>464</v>
      </c>
      <c r="L94" t="s">
        <v>465</v>
      </c>
      <c r="M94" t="s">
        <v>466</v>
      </c>
      <c r="N94">
        <v>3</v>
      </c>
      <c r="O94">
        <v>63942</v>
      </c>
    </row>
    <row r="95" spans="1:15" x14ac:dyDescent="0.35">
      <c r="A95" t="s">
        <v>15</v>
      </c>
      <c r="B95" t="s">
        <v>16</v>
      </c>
      <c r="C95" t="s">
        <v>17</v>
      </c>
      <c r="D95" t="s">
        <v>467</v>
      </c>
      <c r="E95" t="s">
        <v>468</v>
      </c>
      <c r="F95" t="s">
        <v>237</v>
      </c>
      <c r="G95" t="s">
        <v>469</v>
      </c>
      <c r="H95" t="s">
        <v>41</v>
      </c>
      <c r="I95" t="s">
        <v>58</v>
      </c>
      <c r="J95">
        <v>150</v>
      </c>
      <c r="K95" t="s">
        <v>470</v>
      </c>
      <c r="L95" t="s">
        <v>471</v>
      </c>
      <c r="M95" t="s">
        <v>472</v>
      </c>
      <c r="N95">
        <v>20</v>
      </c>
      <c r="O95">
        <v>198651</v>
      </c>
    </row>
    <row r="96" spans="1:15" x14ac:dyDescent="0.35">
      <c r="A96" t="s">
        <v>15</v>
      </c>
      <c r="B96" t="s">
        <v>99</v>
      </c>
      <c r="C96" t="s">
        <v>82</v>
      </c>
      <c r="D96" t="s">
        <v>473</v>
      </c>
      <c r="E96" t="s">
        <v>165</v>
      </c>
      <c r="F96" t="s">
        <v>47</v>
      </c>
      <c r="G96" t="s">
        <v>90</v>
      </c>
      <c r="H96" t="s">
        <v>41</v>
      </c>
      <c r="I96" t="s">
        <v>23</v>
      </c>
      <c r="J96" s="1">
        <v>1290</v>
      </c>
      <c r="K96" t="s">
        <v>23</v>
      </c>
      <c r="L96" t="s">
        <v>474</v>
      </c>
      <c r="M96" t="s">
        <v>475</v>
      </c>
      <c r="N96">
        <v>8</v>
      </c>
      <c r="O96">
        <v>116221.5</v>
      </c>
    </row>
    <row r="97" spans="1:15" x14ac:dyDescent="0.35">
      <c r="A97" t="s">
        <v>15</v>
      </c>
      <c r="B97" t="s">
        <v>16</v>
      </c>
      <c r="C97" t="s">
        <v>17</v>
      </c>
      <c r="D97" t="s">
        <v>476</v>
      </c>
      <c r="E97" t="s">
        <v>477</v>
      </c>
      <c r="F97" t="s">
        <v>39</v>
      </c>
      <c r="G97" t="s">
        <v>229</v>
      </c>
      <c r="H97" t="s">
        <v>57</v>
      </c>
      <c r="I97" t="s">
        <v>23</v>
      </c>
      <c r="J97" s="1">
        <v>9920</v>
      </c>
      <c r="K97" t="s">
        <v>23</v>
      </c>
      <c r="L97" t="s">
        <v>478</v>
      </c>
      <c r="M97" t="s">
        <v>479</v>
      </c>
      <c r="O97">
        <v>15542</v>
      </c>
    </row>
    <row r="98" spans="1:15" x14ac:dyDescent="0.35">
      <c r="A98" t="s">
        <v>15</v>
      </c>
      <c r="B98" t="s">
        <v>16</v>
      </c>
      <c r="C98" t="s">
        <v>17</v>
      </c>
      <c r="D98" t="s">
        <v>480</v>
      </c>
      <c r="E98" t="s">
        <v>481</v>
      </c>
      <c r="F98" t="s">
        <v>30</v>
      </c>
      <c r="G98" t="s">
        <v>482</v>
      </c>
      <c r="H98" t="s">
        <v>41</v>
      </c>
      <c r="I98" t="s">
        <v>58</v>
      </c>
      <c r="J98" s="1">
        <v>3770</v>
      </c>
      <c r="K98" t="s">
        <v>58</v>
      </c>
      <c r="L98" t="s">
        <v>483</v>
      </c>
      <c r="M98" t="s">
        <v>484</v>
      </c>
      <c r="N98">
        <v>15</v>
      </c>
      <c r="O98">
        <v>61772</v>
      </c>
    </row>
    <row r="99" spans="1:15" x14ac:dyDescent="0.35">
      <c r="A99" t="s">
        <v>15</v>
      </c>
      <c r="B99" t="s">
        <v>16</v>
      </c>
      <c r="C99" t="s">
        <v>36</v>
      </c>
      <c r="D99" t="s">
        <v>485</v>
      </c>
      <c r="E99" t="s">
        <v>63</v>
      </c>
      <c r="F99" t="s">
        <v>47</v>
      </c>
      <c r="G99" t="s">
        <v>65</v>
      </c>
      <c r="H99" t="s">
        <v>22</v>
      </c>
      <c r="I99" t="s">
        <v>23</v>
      </c>
      <c r="J99" s="1">
        <v>130040</v>
      </c>
      <c r="K99" t="s">
        <v>486</v>
      </c>
      <c r="L99" t="s">
        <v>487</v>
      </c>
      <c r="M99" t="s">
        <v>81</v>
      </c>
      <c r="N99">
        <v>8</v>
      </c>
      <c r="O99">
        <v>137004</v>
      </c>
    </row>
    <row r="100" spans="1:15" x14ac:dyDescent="0.35">
      <c r="A100" t="s">
        <v>15</v>
      </c>
      <c r="B100" t="s">
        <v>16</v>
      </c>
      <c r="C100" t="s">
        <v>61</v>
      </c>
      <c r="D100" t="s">
        <v>488</v>
      </c>
      <c r="E100" t="s">
        <v>489</v>
      </c>
      <c r="F100" t="s">
        <v>244</v>
      </c>
      <c r="G100" t="s">
        <v>417</v>
      </c>
      <c r="H100" t="s">
        <v>41</v>
      </c>
      <c r="I100" t="s">
        <v>23</v>
      </c>
      <c r="J100" s="1">
        <v>97010</v>
      </c>
      <c r="K100" t="s">
        <v>490</v>
      </c>
      <c r="L100" t="s">
        <v>491</v>
      </c>
      <c r="M100" t="s">
        <v>492</v>
      </c>
      <c r="N100">
        <v>2</v>
      </c>
      <c r="O100">
        <v>214818</v>
      </c>
    </row>
    <row r="101" spans="1:15" x14ac:dyDescent="0.35">
      <c r="A101" t="s">
        <v>15</v>
      </c>
      <c r="B101" t="s">
        <v>16</v>
      </c>
      <c r="C101" t="s">
        <v>17</v>
      </c>
      <c r="D101" t="s">
        <v>493</v>
      </c>
      <c r="E101" t="s">
        <v>258</v>
      </c>
      <c r="F101" t="s">
        <v>47</v>
      </c>
      <c r="G101" t="s">
        <v>65</v>
      </c>
      <c r="H101" t="s">
        <v>41</v>
      </c>
      <c r="I101" t="s">
        <v>23</v>
      </c>
      <c r="J101">
        <v>830</v>
      </c>
      <c r="K101" t="s">
        <v>494</v>
      </c>
      <c r="L101" t="s">
        <v>495</v>
      </c>
      <c r="M101" t="s">
        <v>496</v>
      </c>
      <c r="N101">
        <v>8</v>
      </c>
      <c r="O101">
        <v>75357</v>
      </c>
    </row>
    <row r="102" spans="1:15" x14ac:dyDescent="0.35">
      <c r="A102" t="s">
        <v>15</v>
      </c>
      <c r="B102" t="s">
        <v>99</v>
      </c>
      <c r="C102" t="s">
        <v>61</v>
      </c>
      <c r="D102" t="s">
        <v>497</v>
      </c>
      <c r="E102" t="s">
        <v>228</v>
      </c>
      <c r="F102" t="s">
        <v>39</v>
      </c>
      <c r="G102" t="s">
        <v>498</v>
      </c>
      <c r="H102" t="s">
        <v>41</v>
      </c>
      <c r="I102" t="s">
        <v>58</v>
      </c>
      <c r="J102">
        <v>15</v>
      </c>
      <c r="K102" t="s">
        <v>58</v>
      </c>
      <c r="L102" t="s">
        <v>499</v>
      </c>
      <c r="M102" t="s">
        <v>500</v>
      </c>
      <c r="O102">
        <v>150707</v>
      </c>
    </row>
    <row r="103" spans="1:15" x14ac:dyDescent="0.35">
      <c r="A103" t="s">
        <v>15</v>
      </c>
      <c r="B103" t="s">
        <v>16</v>
      </c>
      <c r="C103" t="s">
        <v>36</v>
      </c>
      <c r="D103" t="s">
        <v>501</v>
      </c>
      <c r="E103" t="s">
        <v>502</v>
      </c>
      <c r="F103" t="s">
        <v>55</v>
      </c>
      <c r="G103" t="s">
        <v>245</v>
      </c>
      <c r="H103" t="s">
        <v>156</v>
      </c>
      <c r="I103" t="s">
        <v>23</v>
      </c>
      <c r="J103" s="1">
        <v>35020</v>
      </c>
      <c r="K103" t="s">
        <v>503</v>
      </c>
      <c r="L103" t="s">
        <v>504</v>
      </c>
      <c r="M103" t="s">
        <v>505</v>
      </c>
      <c r="N103">
        <v>3</v>
      </c>
      <c r="O103">
        <v>82201</v>
      </c>
    </row>
    <row r="104" spans="1:15" x14ac:dyDescent="0.35">
      <c r="A104" t="s">
        <v>15</v>
      </c>
      <c r="B104" t="s">
        <v>52</v>
      </c>
      <c r="C104" t="s">
        <v>17</v>
      </c>
      <c r="D104" t="s">
        <v>506</v>
      </c>
      <c r="E104" t="s">
        <v>507</v>
      </c>
      <c r="F104" t="s">
        <v>508</v>
      </c>
      <c r="G104" t="s">
        <v>90</v>
      </c>
      <c r="H104" t="s">
        <v>57</v>
      </c>
      <c r="I104" t="s">
        <v>58</v>
      </c>
      <c r="J104">
        <v>890</v>
      </c>
      <c r="K104" t="s">
        <v>509</v>
      </c>
      <c r="L104" t="s">
        <v>510</v>
      </c>
      <c r="M104" t="s">
        <v>60</v>
      </c>
      <c r="N104">
        <v>7</v>
      </c>
      <c r="O104">
        <v>198375.5</v>
      </c>
    </row>
    <row r="105" spans="1:15" x14ac:dyDescent="0.35">
      <c r="A105" t="s">
        <v>15</v>
      </c>
      <c r="B105" t="s">
        <v>52</v>
      </c>
      <c r="C105" t="s">
        <v>36</v>
      </c>
      <c r="D105" t="s">
        <v>511</v>
      </c>
      <c r="E105" t="s">
        <v>512</v>
      </c>
      <c r="F105" t="s">
        <v>513</v>
      </c>
      <c r="G105" t="s">
        <v>514</v>
      </c>
      <c r="H105" t="s">
        <v>41</v>
      </c>
      <c r="I105" t="s">
        <v>58</v>
      </c>
      <c r="J105">
        <v>180</v>
      </c>
      <c r="K105" t="s">
        <v>166</v>
      </c>
      <c r="L105" t="s">
        <v>515</v>
      </c>
      <c r="M105" t="s">
        <v>60</v>
      </c>
      <c r="N105">
        <v>22</v>
      </c>
      <c r="O105">
        <v>27409</v>
      </c>
    </row>
    <row r="106" spans="1:15" x14ac:dyDescent="0.35">
      <c r="A106" t="s">
        <v>15</v>
      </c>
      <c r="B106" t="s">
        <v>27</v>
      </c>
      <c r="C106" t="s">
        <v>17</v>
      </c>
      <c r="D106" t="s">
        <v>516</v>
      </c>
      <c r="E106" t="s">
        <v>517</v>
      </c>
      <c r="F106" t="s">
        <v>30</v>
      </c>
      <c r="G106" t="s">
        <v>150</v>
      </c>
      <c r="H106" t="s">
        <v>41</v>
      </c>
      <c r="I106" t="s">
        <v>23</v>
      </c>
      <c r="J106" s="1">
        <v>19470</v>
      </c>
      <c r="K106" t="s">
        <v>518</v>
      </c>
      <c r="L106" t="s">
        <v>519</v>
      </c>
      <c r="M106" t="s">
        <v>520</v>
      </c>
      <c r="N106">
        <v>15</v>
      </c>
      <c r="O106">
        <v>109605</v>
      </c>
    </row>
    <row r="107" spans="1:15" x14ac:dyDescent="0.35">
      <c r="A107" t="s">
        <v>15</v>
      </c>
      <c r="B107" t="s">
        <v>27</v>
      </c>
      <c r="C107" t="s">
        <v>17</v>
      </c>
      <c r="D107" t="s">
        <v>521</v>
      </c>
      <c r="E107" t="s">
        <v>522</v>
      </c>
      <c r="F107" t="s">
        <v>89</v>
      </c>
      <c r="G107" t="s">
        <v>523</v>
      </c>
      <c r="H107" t="s">
        <v>41</v>
      </c>
      <c r="I107" t="s">
        <v>58</v>
      </c>
      <c r="J107" s="1">
        <v>1230</v>
      </c>
      <c r="K107" t="s">
        <v>58</v>
      </c>
      <c r="L107" t="s">
        <v>524</v>
      </c>
      <c r="M107" t="s">
        <v>60</v>
      </c>
      <c r="O107">
        <v>199795</v>
      </c>
    </row>
    <row r="108" spans="1:15" x14ac:dyDescent="0.35">
      <c r="A108" t="s">
        <v>15</v>
      </c>
      <c r="B108" t="s">
        <v>16</v>
      </c>
      <c r="C108" t="s">
        <v>36</v>
      </c>
      <c r="D108" t="s">
        <v>525</v>
      </c>
      <c r="E108" t="s">
        <v>526</v>
      </c>
      <c r="F108" t="s">
        <v>125</v>
      </c>
      <c r="G108" t="s">
        <v>527</v>
      </c>
      <c r="H108" t="s">
        <v>41</v>
      </c>
      <c r="I108" t="s">
        <v>23</v>
      </c>
      <c r="J108" s="1">
        <v>40060</v>
      </c>
      <c r="K108" t="s">
        <v>528</v>
      </c>
      <c r="L108" t="s">
        <v>529</v>
      </c>
      <c r="M108" t="s">
        <v>530</v>
      </c>
      <c r="N108">
        <v>14</v>
      </c>
      <c r="O108">
        <v>106407</v>
      </c>
    </row>
    <row r="109" spans="1:15" x14ac:dyDescent="0.35">
      <c r="A109" t="s">
        <v>15</v>
      </c>
      <c r="B109" t="s">
        <v>16</v>
      </c>
      <c r="C109" t="s">
        <v>61</v>
      </c>
      <c r="D109" t="s">
        <v>531</v>
      </c>
      <c r="E109" t="s">
        <v>128</v>
      </c>
      <c r="F109" t="s">
        <v>47</v>
      </c>
      <c r="G109" t="s">
        <v>65</v>
      </c>
      <c r="H109" t="s">
        <v>41</v>
      </c>
      <c r="I109" t="s">
        <v>58</v>
      </c>
      <c r="J109" s="1">
        <v>1270</v>
      </c>
      <c r="K109" t="s">
        <v>166</v>
      </c>
      <c r="L109" t="s">
        <v>532</v>
      </c>
      <c r="M109" t="s">
        <v>533</v>
      </c>
      <c r="N109">
        <v>8</v>
      </c>
      <c r="O109">
        <v>639348</v>
      </c>
    </row>
    <row r="110" spans="1:15" x14ac:dyDescent="0.35">
      <c r="A110" t="s">
        <v>534</v>
      </c>
      <c r="B110" t="s">
        <v>99</v>
      </c>
      <c r="C110" t="s">
        <v>61</v>
      </c>
      <c r="D110" t="s">
        <v>535</v>
      </c>
      <c r="E110" t="s">
        <v>536</v>
      </c>
      <c r="F110" t="s">
        <v>30</v>
      </c>
      <c r="G110" t="s">
        <v>537</v>
      </c>
      <c r="H110" t="s">
        <v>115</v>
      </c>
      <c r="I110" t="s">
        <v>23</v>
      </c>
      <c r="J110" s="1">
        <v>82020</v>
      </c>
      <c r="K110" t="s">
        <v>23</v>
      </c>
      <c r="L110" t="s">
        <v>538</v>
      </c>
      <c r="M110" t="s">
        <v>189</v>
      </c>
      <c r="N110">
        <v>15</v>
      </c>
      <c r="O110">
        <v>69047</v>
      </c>
    </row>
    <row r="111" spans="1:15" x14ac:dyDescent="0.35">
      <c r="A111" t="s">
        <v>15</v>
      </c>
      <c r="B111" t="s">
        <v>16</v>
      </c>
      <c r="C111" t="s">
        <v>61</v>
      </c>
      <c r="D111" t="s">
        <v>539</v>
      </c>
      <c r="E111" t="s">
        <v>540</v>
      </c>
      <c r="F111" t="s">
        <v>399</v>
      </c>
      <c r="G111" t="s">
        <v>86</v>
      </c>
      <c r="H111" t="s">
        <v>41</v>
      </c>
      <c r="I111" t="s">
        <v>23</v>
      </c>
      <c r="J111" s="1">
        <v>222500</v>
      </c>
      <c r="K111" t="s">
        <v>23</v>
      </c>
      <c r="L111" t="s">
        <v>541</v>
      </c>
      <c r="M111" t="s">
        <v>542</v>
      </c>
      <c r="N111">
        <v>5</v>
      </c>
      <c r="O111">
        <v>135179</v>
      </c>
    </row>
    <row r="112" spans="1:15" x14ac:dyDescent="0.35">
      <c r="A112" t="s">
        <v>75</v>
      </c>
      <c r="B112" t="s">
        <v>52</v>
      </c>
      <c r="C112" t="s">
        <v>36</v>
      </c>
      <c r="D112" t="s">
        <v>543</v>
      </c>
      <c r="E112" t="s">
        <v>544</v>
      </c>
      <c r="F112" t="s">
        <v>139</v>
      </c>
      <c r="G112" t="s">
        <v>90</v>
      </c>
      <c r="H112" t="s">
        <v>41</v>
      </c>
      <c r="I112" t="s">
        <v>58</v>
      </c>
      <c r="J112">
        <v>580</v>
      </c>
      <c r="K112" t="s">
        <v>545</v>
      </c>
      <c r="L112" t="s">
        <v>546</v>
      </c>
      <c r="M112" t="s">
        <v>60</v>
      </c>
      <c r="N112">
        <v>13</v>
      </c>
      <c r="O112">
        <v>248888.5</v>
      </c>
    </row>
    <row r="113" spans="1:15" x14ac:dyDescent="0.35">
      <c r="A113" t="s">
        <v>15</v>
      </c>
      <c r="B113" t="s">
        <v>27</v>
      </c>
      <c r="C113" t="s">
        <v>17</v>
      </c>
      <c r="D113" t="s">
        <v>547</v>
      </c>
      <c r="E113" t="s">
        <v>335</v>
      </c>
      <c r="F113" t="s">
        <v>47</v>
      </c>
      <c r="G113" t="s">
        <v>65</v>
      </c>
      <c r="H113" t="s">
        <v>41</v>
      </c>
      <c r="I113" t="s">
        <v>58</v>
      </c>
      <c r="J113">
        <v>900</v>
      </c>
      <c r="K113" t="s">
        <v>58</v>
      </c>
      <c r="L113" t="s">
        <v>548</v>
      </c>
      <c r="M113" t="s">
        <v>549</v>
      </c>
      <c r="N113">
        <v>8</v>
      </c>
      <c r="O113">
        <v>19096</v>
      </c>
    </row>
    <row r="114" spans="1:15" x14ac:dyDescent="0.35">
      <c r="A114" t="s">
        <v>15</v>
      </c>
      <c r="B114" t="s">
        <v>16</v>
      </c>
      <c r="C114" t="s">
        <v>61</v>
      </c>
      <c r="D114" t="s">
        <v>550</v>
      </c>
      <c r="E114" t="s">
        <v>551</v>
      </c>
      <c r="F114" t="s">
        <v>341</v>
      </c>
      <c r="G114" t="s">
        <v>65</v>
      </c>
      <c r="H114" t="s">
        <v>41</v>
      </c>
      <c r="I114" t="s">
        <v>23</v>
      </c>
      <c r="J114" s="1">
        <v>10010</v>
      </c>
      <c r="K114" t="s">
        <v>23</v>
      </c>
      <c r="L114" t="s">
        <v>552</v>
      </c>
      <c r="M114" t="s">
        <v>553</v>
      </c>
      <c r="N114">
        <v>2</v>
      </c>
      <c r="O114">
        <v>99560</v>
      </c>
    </row>
    <row r="115" spans="1:15" x14ac:dyDescent="0.35">
      <c r="A115" t="s">
        <v>15</v>
      </c>
      <c r="B115" t="s">
        <v>16</v>
      </c>
      <c r="C115" t="s">
        <v>17</v>
      </c>
      <c r="D115" t="s">
        <v>271</v>
      </c>
      <c r="E115" t="s">
        <v>272</v>
      </c>
      <c r="F115" t="s">
        <v>399</v>
      </c>
      <c r="G115" t="s">
        <v>150</v>
      </c>
      <c r="H115" t="s">
        <v>41</v>
      </c>
      <c r="I115" t="s">
        <v>23</v>
      </c>
      <c r="J115" s="1">
        <v>24030</v>
      </c>
      <c r="K115" t="s">
        <v>23</v>
      </c>
      <c r="L115" t="s">
        <v>554</v>
      </c>
      <c r="M115" t="s">
        <v>274</v>
      </c>
      <c r="N115">
        <v>5</v>
      </c>
      <c r="O115">
        <v>132622.5</v>
      </c>
    </row>
    <row r="116" spans="1:15" x14ac:dyDescent="0.35">
      <c r="A116" t="s">
        <v>15</v>
      </c>
      <c r="B116" t="s">
        <v>52</v>
      </c>
      <c r="C116" t="s">
        <v>82</v>
      </c>
      <c r="D116" t="s">
        <v>555</v>
      </c>
      <c r="E116" t="s">
        <v>84</v>
      </c>
      <c r="F116" t="s">
        <v>196</v>
      </c>
      <c r="G116" t="s">
        <v>90</v>
      </c>
      <c r="H116" t="s">
        <v>22</v>
      </c>
      <c r="I116" t="s">
        <v>58</v>
      </c>
      <c r="J116" s="1">
        <v>12300</v>
      </c>
      <c r="K116" t="s">
        <v>556</v>
      </c>
      <c r="L116" t="s">
        <v>557</v>
      </c>
      <c r="M116" t="s">
        <v>60</v>
      </c>
      <c r="N116">
        <v>7</v>
      </c>
      <c r="O116">
        <v>137001</v>
      </c>
    </row>
    <row r="117" spans="1:15" x14ac:dyDescent="0.35">
      <c r="A117" t="s">
        <v>15</v>
      </c>
      <c r="B117" t="s">
        <v>16</v>
      </c>
      <c r="C117" t="s">
        <v>36</v>
      </c>
      <c r="D117" t="s">
        <v>558</v>
      </c>
      <c r="E117" t="s">
        <v>559</v>
      </c>
      <c r="F117" t="s">
        <v>513</v>
      </c>
      <c r="G117" t="s">
        <v>560</v>
      </c>
      <c r="H117" t="s">
        <v>73</v>
      </c>
      <c r="I117" t="s">
        <v>61</v>
      </c>
      <c r="J117" s="1">
        <v>9320</v>
      </c>
      <c r="K117" t="s">
        <v>73</v>
      </c>
      <c r="L117" t="s">
        <v>561</v>
      </c>
      <c r="M117" t="s">
        <v>172</v>
      </c>
      <c r="N117">
        <v>22</v>
      </c>
      <c r="O117">
        <v>66234.5</v>
      </c>
    </row>
    <row r="118" spans="1:15" x14ac:dyDescent="0.35">
      <c r="A118" t="s">
        <v>15</v>
      </c>
      <c r="B118" t="s">
        <v>16</v>
      </c>
      <c r="C118" t="s">
        <v>36</v>
      </c>
      <c r="D118" t="s">
        <v>562</v>
      </c>
      <c r="E118" t="s">
        <v>324</v>
      </c>
      <c r="F118" t="s">
        <v>30</v>
      </c>
      <c r="G118" t="s">
        <v>381</v>
      </c>
      <c r="H118" t="s">
        <v>115</v>
      </c>
      <c r="I118" t="s">
        <v>23</v>
      </c>
      <c r="J118" s="1">
        <v>24020</v>
      </c>
      <c r="K118" t="s">
        <v>563</v>
      </c>
      <c r="L118" t="s">
        <v>564</v>
      </c>
      <c r="M118" t="s">
        <v>565</v>
      </c>
      <c r="N118">
        <v>15</v>
      </c>
      <c r="O118">
        <v>84759.5</v>
      </c>
    </row>
    <row r="119" spans="1:15" x14ac:dyDescent="0.35">
      <c r="A119" t="s">
        <v>15</v>
      </c>
      <c r="B119" t="s">
        <v>16</v>
      </c>
      <c r="C119" t="s">
        <v>17</v>
      </c>
      <c r="D119" t="s">
        <v>190</v>
      </c>
      <c r="E119" t="s">
        <v>566</v>
      </c>
      <c r="F119" t="s">
        <v>513</v>
      </c>
      <c r="G119" t="s">
        <v>90</v>
      </c>
      <c r="H119" t="s">
        <v>41</v>
      </c>
      <c r="I119" t="s">
        <v>23</v>
      </c>
      <c r="J119" s="1">
        <v>26910</v>
      </c>
      <c r="K119" t="s">
        <v>567</v>
      </c>
      <c r="L119" t="s">
        <v>568</v>
      </c>
      <c r="M119" t="s">
        <v>51</v>
      </c>
      <c r="N119">
        <v>22</v>
      </c>
      <c r="O119">
        <v>50222</v>
      </c>
    </row>
    <row r="120" spans="1:15" x14ac:dyDescent="0.35">
      <c r="A120" t="s">
        <v>15</v>
      </c>
      <c r="B120" t="s">
        <v>99</v>
      </c>
      <c r="C120" t="s">
        <v>36</v>
      </c>
      <c r="D120" t="s">
        <v>569</v>
      </c>
      <c r="E120" t="s">
        <v>570</v>
      </c>
      <c r="F120" t="s">
        <v>85</v>
      </c>
      <c r="G120" t="s">
        <v>571</v>
      </c>
      <c r="H120" t="s">
        <v>115</v>
      </c>
      <c r="I120" t="s">
        <v>23</v>
      </c>
      <c r="J120" s="1">
        <v>49360</v>
      </c>
      <c r="K120" t="s">
        <v>572</v>
      </c>
      <c r="L120" t="s">
        <v>573</v>
      </c>
      <c r="M120" t="s">
        <v>60</v>
      </c>
      <c r="N120">
        <v>6</v>
      </c>
      <c r="O120">
        <v>137003</v>
      </c>
    </row>
    <row r="121" spans="1:15" x14ac:dyDescent="0.35">
      <c r="A121" t="s">
        <v>15</v>
      </c>
      <c r="B121" t="s">
        <v>16</v>
      </c>
      <c r="C121" t="s">
        <v>36</v>
      </c>
      <c r="D121" t="s">
        <v>574</v>
      </c>
      <c r="E121" t="s">
        <v>575</v>
      </c>
      <c r="F121" t="s">
        <v>203</v>
      </c>
      <c r="G121" t="s">
        <v>576</v>
      </c>
      <c r="H121" t="s">
        <v>115</v>
      </c>
      <c r="I121" t="s">
        <v>23</v>
      </c>
      <c r="J121" s="1">
        <v>78750</v>
      </c>
      <c r="K121" t="s">
        <v>577</v>
      </c>
      <c r="L121" t="s">
        <v>578</v>
      </c>
      <c r="M121" t="s">
        <v>256</v>
      </c>
      <c r="N121">
        <v>25</v>
      </c>
      <c r="O121">
        <v>124219</v>
      </c>
    </row>
    <row r="122" spans="1:15" x14ac:dyDescent="0.35">
      <c r="A122" t="s">
        <v>15</v>
      </c>
      <c r="B122" t="s">
        <v>16</v>
      </c>
      <c r="C122" t="s">
        <v>82</v>
      </c>
      <c r="D122" t="s">
        <v>579</v>
      </c>
      <c r="E122" t="s">
        <v>228</v>
      </c>
      <c r="F122" t="s">
        <v>399</v>
      </c>
      <c r="G122" t="s">
        <v>580</v>
      </c>
      <c r="H122" t="s">
        <v>41</v>
      </c>
      <c r="I122" t="s">
        <v>23</v>
      </c>
      <c r="J122" s="1">
        <v>27450</v>
      </c>
      <c r="K122" t="s">
        <v>23</v>
      </c>
      <c r="L122" t="s">
        <v>581</v>
      </c>
      <c r="M122" t="s">
        <v>256</v>
      </c>
      <c r="N122">
        <v>5</v>
      </c>
      <c r="O122">
        <v>134185.5</v>
      </c>
    </row>
    <row r="123" spans="1:15" x14ac:dyDescent="0.35">
      <c r="A123" t="s">
        <v>15</v>
      </c>
      <c r="B123" t="s">
        <v>27</v>
      </c>
      <c r="C123" t="s">
        <v>36</v>
      </c>
      <c r="D123" t="s">
        <v>582</v>
      </c>
      <c r="E123" t="s">
        <v>583</v>
      </c>
      <c r="F123" t="s">
        <v>30</v>
      </c>
      <c r="G123" t="s">
        <v>584</v>
      </c>
      <c r="H123" t="s">
        <v>57</v>
      </c>
      <c r="I123" t="s">
        <v>58</v>
      </c>
      <c r="J123" s="1">
        <v>33030</v>
      </c>
      <c r="K123" t="s">
        <v>58</v>
      </c>
      <c r="L123" t="s">
        <v>585</v>
      </c>
      <c r="M123" t="s">
        <v>586</v>
      </c>
      <c r="N123">
        <v>15</v>
      </c>
      <c r="O123">
        <v>137008</v>
      </c>
    </row>
    <row r="124" spans="1:15" x14ac:dyDescent="0.35">
      <c r="A124" t="s">
        <v>15</v>
      </c>
      <c r="B124" t="s">
        <v>16</v>
      </c>
      <c r="C124" t="s">
        <v>82</v>
      </c>
      <c r="D124" t="s">
        <v>587</v>
      </c>
      <c r="E124" t="s">
        <v>243</v>
      </c>
      <c r="F124" t="s">
        <v>89</v>
      </c>
      <c r="G124" t="s">
        <v>588</v>
      </c>
      <c r="H124" t="s">
        <v>41</v>
      </c>
      <c r="I124" t="s">
        <v>58</v>
      </c>
      <c r="J124">
        <v>30</v>
      </c>
      <c r="K124" t="s">
        <v>58</v>
      </c>
      <c r="L124" t="s">
        <v>589</v>
      </c>
      <c r="M124" t="s">
        <v>241</v>
      </c>
      <c r="O124">
        <v>146135</v>
      </c>
    </row>
    <row r="125" spans="1:15" x14ac:dyDescent="0.35">
      <c r="A125" t="s">
        <v>15</v>
      </c>
      <c r="B125" t="s">
        <v>16</v>
      </c>
      <c r="C125" t="s">
        <v>61</v>
      </c>
      <c r="D125" t="s">
        <v>142</v>
      </c>
      <c r="E125" t="s">
        <v>590</v>
      </c>
      <c r="F125" t="s">
        <v>399</v>
      </c>
      <c r="G125" t="s">
        <v>144</v>
      </c>
      <c r="H125" t="s">
        <v>115</v>
      </c>
      <c r="I125" t="s">
        <v>23</v>
      </c>
      <c r="J125" s="1">
        <v>93560</v>
      </c>
      <c r="K125" t="s">
        <v>145</v>
      </c>
      <c r="L125" t="s">
        <v>591</v>
      </c>
      <c r="M125" t="s">
        <v>592</v>
      </c>
      <c r="N125">
        <v>5</v>
      </c>
      <c r="O125">
        <v>74130</v>
      </c>
    </row>
    <row r="126" spans="1:15" x14ac:dyDescent="0.35">
      <c r="A126" t="s">
        <v>15</v>
      </c>
      <c r="B126" t="s">
        <v>16</v>
      </c>
      <c r="C126" t="s">
        <v>17</v>
      </c>
      <c r="D126" t="s">
        <v>593</v>
      </c>
      <c r="E126" t="s">
        <v>208</v>
      </c>
      <c r="F126" t="s">
        <v>244</v>
      </c>
      <c r="G126" t="s">
        <v>594</v>
      </c>
      <c r="H126" t="s">
        <v>41</v>
      </c>
      <c r="I126" t="s">
        <v>58</v>
      </c>
      <c r="J126">
        <v>180</v>
      </c>
      <c r="K126" t="s">
        <v>58</v>
      </c>
      <c r="L126" t="s">
        <v>595</v>
      </c>
      <c r="M126" t="s">
        <v>596</v>
      </c>
      <c r="N126">
        <v>2</v>
      </c>
      <c r="O126">
        <v>100472.5</v>
      </c>
    </row>
    <row r="127" spans="1:15" x14ac:dyDescent="0.35">
      <c r="A127" t="s">
        <v>15</v>
      </c>
      <c r="B127" t="s">
        <v>52</v>
      </c>
      <c r="C127" t="s">
        <v>36</v>
      </c>
      <c r="D127" t="s">
        <v>597</v>
      </c>
      <c r="E127" t="s">
        <v>598</v>
      </c>
      <c r="F127" t="s">
        <v>47</v>
      </c>
      <c r="G127" t="s">
        <v>599</v>
      </c>
      <c r="H127" t="s">
        <v>41</v>
      </c>
      <c r="I127" t="s">
        <v>23</v>
      </c>
      <c r="J127" s="1">
        <v>2820</v>
      </c>
      <c r="K127" t="s">
        <v>23</v>
      </c>
      <c r="L127" t="s">
        <v>600</v>
      </c>
      <c r="M127" t="s">
        <v>60</v>
      </c>
      <c r="N127">
        <v>8</v>
      </c>
      <c r="O127">
        <v>105715.5</v>
      </c>
    </row>
    <row r="128" spans="1:15" x14ac:dyDescent="0.35">
      <c r="A128" t="s">
        <v>15</v>
      </c>
      <c r="B128" t="s">
        <v>16</v>
      </c>
      <c r="C128" t="s">
        <v>36</v>
      </c>
      <c r="D128" t="s">
        <v>601</v>
      </c>
      <c r="E128" t="s">
        <v>602</v>
      </c>
      <c r="F128" t="s">
        <v>30</v>
      </c>
      <c r="G128" t="s">
        <v>65</v>
      </c>
      <c r="H128" t="s">
        <v>57</v>
      </c>
      <c r="I128" t="s">
        <v>23</v>
      </c>
      <c r="J128" s="1">
        <v>290800</v>
      </c>
      <c r="K128" t="s">
        <v>603</v>
      </c>
      <c r="L128" t="s">
        <v>604</v>
      </c>
      <c r="M128" t="s">
        <v>605</v>
      </c>
      <c r="N128">
        <v>15</v>
      </c>
      <c r="O128">
        <v>141571.5</v>
      </c>
    </row>
    <row r="129" spans="1:15" x14ac:dyDescent="0.35">
      <c r="A129" t="s">
        <v>15</v>
      </c>
      <c r="B129" t="s">
        <v>99</v>
      </c>
      <c r="C129" t="s">
        <v>61</v>
      </c>
      <c r="D129" t="s">
        <v>606</v>
      </c>
      <c r="E129" t="s">
        <v>120</v>
      </c>
      <c r="F129" t="s">
        <v>47</v>
      </c>
      <c r="G129" t="s">
        <v>65</v>
      </c>
      <c r="H129" t="s">
        <v>57</v>
      </c>
      <c r="I129" t="s">
        <v>58</v>
      </c>
      <c r="J129" s="1">
        <v>23320</v>
      </c>
      <c r="K129" t="s">
        <v>58</v>
      </c>
      <c r="L129" t="s">
        <v>607</v>
      </c>
      <c r="M129" t="s">
        <v>608</v>
      </c>
      <c r="N129">
        <v>8</v>
      </c>
      <c r="O129">
        <v>173540</v>
      </c>
    </row>
    <row r="130" spans="1:15" x14ac:dyDescent="0.35">
      <c r="A130" t="s">
        <v>15</v>
      </c>
      <c r="B130" t="s">
        <v>27</v>
      </c>
      <c r="C130" t="s">
        <v>61</v>
      </c>
      <c r="D130" t="s">
        <v>609</v>
      </c>
      <c r="E130" t="s">
        <v>63</v>
      </c>
      <c r="F130" t="s">
        <v>312</v>
      </c>
      <c r="G130" t="s">
        <v>610</v>
      </c>
      <c r="H130" t="s">
        <v>115</v>
      </c>
      <c r="I130" t="s">
        <v>58</v>
      </c>
      <c r="J130" s="1">
        <v>76020</v>
      </c>
      <c r="K130" t="s">
        <v>58</v>
      </c>
      <c r="L130" t="s">
        <v>611</v>
      </c>
      <c r="M130" t="s">
        <v>612</v>
      </c>
      <c r="N130">
        <v>4</v>
      </c>
      <c r="O130">
        <v>205224</v>
      </c>
    </row>
    <row r="131" spans="1:15" x14ac:dyDescent="0.35">
      <c r="A131" t="s">
        <v>15</v>
      </c>
      <c r="B131" t="s">
        <v>27</v>
      </c>
      <c r="C131" t="s">
        <v>17</v>
      </c>
      <c r="D131" t="s">
        <v>613</v>
      </c>
      <c r="E131" t="s">
        <v>614</v>
      </c>
      <c r="F131" t="s">
        <v>399</v>
      </c>
      <c r="G131" t="s">
        <v>90</v>
      </c>
      <c r="H131" t="s">
        <v>115</v>
      </c>
      <c r="I131" t="s">
        <v>58</v>
      </c>
      <c r="J131">
        <v>500</v>
      </c>
      <c r="K131" t="s">
        <v>615</v>
      </c>
      <c r="L131" t="s">
        <v>616</v>
      </c>
      <c r="M131" t="s">
        <v>60</v>
      </c>
      <c r="N131">
        <v>5</v>
      </c>
      <c r="O131">
        <v>258704</v>
      </c>
    </row>
    <row r="132" spans="1:15" x14ac:dyDescent="0.35">
      <c r="A132" t="s">
        <v>15</v>
      </c>
      <c r="B132" t="s">
        <v>16</v>
      </c>
      <c r="C132" t="s">
        <v>61</v>
      </c>
      <c r="D132" t="s">
        <v>617</v>
      </c>
      <c r="E132" t="s">
        <v>618</v>
      </c>
      <c r="F132" t="s">
        <v>78</v>
      </c>
      <c r="G132" t="s">
        <v>619</v>
      </c>
      <c r="H132" t="s">
        <v>115</v>
      </c>
      <c r="I132" t="s">
        <v>23</v>
      </c>
      <c r="J132" s="1">
        <v>2520</v>
      </c>
      <c r="K132" t="s">
        <v>23</v>
      </c>
      <c r="L132" t="s">
        <v>620</v>
      </c>
      <c r="M132" t="s">
        <v>621</v>
      </c>
      <c r="N132">
        <v>9</v>
      </c>
      <c r="O132">
        <v>75351.5</v>
      </c>
    </row>
    <row r="133" spans="1:15" x14ac:dyDescent="0.35">
      <c r="A133" t="s">
        <v>15</v>
      </c>
      <c r="B133" t="s">
        <v>52</v>
      </c>
      <c r="C133" t="s">
        <v>36</v>
      </c>
      <c r="D133" t="s">
        <v>622</v>
      </c>
      <c r="E133" t="s">
        <v>134</v>
      </c>
      <c r="F133" t="s">
        <v>47</v>
      </c>
      <c r="G133" t="s">
        <v>623</v>
      </c>
      <c r="H133" t="s">
        <v>41</v>
      </c>
      <c r="I133" t="s">
        <v>58</v>
      </c>
      <c r="J133" s="1">
        <v>3760</v>
      </c>
      <c r="K133" t="s">
        <v>166</v>
      </c>
      <c r="L133" t="s">
        <v>624</v>
      </c>
      <c r="M133" t="s">
        <v>60</v>
      </c>
      <c r="N133">
        <v>8</v>
      </c>
      <c r="O133">
        <v>130155</v>
      </c>
    </row>
    <row r="134" spans="1:15" x14ac:dyDescent="0.35">
      <c r="A134" t="s">
        <v>15</v>
      </c>
      <c r="B134" t="s">
        <v>16</v>
      </c>
      <c r="C134" t="s">
        <v>36</v>
      </c>
      <c r="D134" t="s">
        <v>625</v>
      </c>
      <c r="E134" t="s">
        <v>626</v>
      </c>
      <c r="F134" t="s">
        <v>312</v>
      </c>
      <c r="G134" t="s">
        <v>90</v>
      </c>
      <c r="H134" t="s">
        <v>41</v>
      </c>
      <c r="I134" t="s">
        <v>58</v>
      </c>
      <c r="J134">
        <v>150</v>
      </c>
      <c r="K134" t="s">
        <v>627</v>
      </c>
      <c r="L134" t="s">
        <v>628</v>
      </c>
      <c r="M134" t="s">
        <v>118</v>
      </c>
      <c r="N134">
        <v>4</v>
      </c>
      <c r="O134">
        <v>155274</v>
      </c>
    </row>
    <row r="135" spans="1:15" x14ac:dyDescent="0.35">
      <c r="A135" t="s">
        <v>15</v>
      </c>
      <c r="B135" t="s">
        <v>16</v>
      </c>
      <c r="C135" t="s">
        <v>17</v>
      </c>
      <c r="D135" t="s">
        <v>629</v>
      </c>
      <c r="E135" t="s">
        <v>219</v>
      </c>
      <c r="F135" t="s">
        <v>85</v>
      </c>
      <c r="G135" t="s">
        <v>221</v>
      </c>
      <c r="H135" t="s">
        <v>57</v>
      </c>
      <c r="I135" t="s">
        <v>23</v>
      </c>
      <c r="J135" s="1">
        <v>21050</v>
      </c>
      <c r="K135" t="s">
        <v>630</v>
      </c>
      <c r="L135" t="s">
        <v>631</v>
      </c>
      <c r="M135" t="s">
        <v>632</v>
      </c>
      <c r="N135">
        <v>6</v>
      </c>
      <c r="O135">
        <v>156774.5</v>
      </c>
    </row>
    <row r="136" spans="1:15" x14ac:dyDescent="0.35">
      <c r="A136" t="s">
        <v>75</v>
      </c>
      <c r="B136" t="s">
        <v>16</v>
      </c>
      <c r="C136" t="s">
        <v>17</v>
      </c>
      <c r="D136" t="s">
        <v>37</v>
      </c>
      <c r="E136" t="s">
        <v>633</v>
      </c>
      <c r="F136" t="s">
        <v>39</v>
      </c>
      <c r="G136" t="s">
        <v>40</v>
      </c>
      <c r="H136" t="s">
        <v>41</v>
      </c>
      <c r="I136" t="s">
        <v>23</v>
      </c>
      <c r="J136" s="1">
        <v>25940</v>
      </c>
      <c r="K136" t="s">
        <v>634</v>
      </c>
      <c r="L136" t="s">
        <v>635</v>
      </c>
      <c r="M136" t="s">
        <v>605</v>
      </c>
      <c r="O136">
        <v>61654.5</v>
      </c>
    </row>
    <row r="137" spans="1:15" x14ac:dyDescent="0.35">
      <c r="A137" t="s">
        <v>15</v>
      </c>
      <c r="B137" t="s">
        <v>16</v>
      </c>
      <c r="C137" t="s">
        <v>36</v>
      </c>
      <c r="D137" t="s">
        <v>636</v>
      </c>
      <c r="E137" t="s">
        <v>637</v>
      </c>
      <c r="F137" t="s">
        <v>196</v>
      </c>
      <c r="G137" t="s">
        <v>638</v>
      </c>
      <c r="H137" t="s">
        <v>115</v>
      </c>
      <c r="I137" t="s">
        <v>23</v>
      </c>
      <c r="J137" s="1">
        <v>103540</v>
      </c>
      <c r="K137" t="s">
        <v>639</v>
      </c>
      <c r="L137" t="s">
        <v>640</v>
      </c>
      <c r="M137" t="s">
        <v>641</v>
      </c>
      <c r="N137">
        <v>7</v>
      </c>
      <c r="O137">
        <v>79187</v>
      </c>
    </row>
    <row r="138" spans="1:15" x14ac:dyDescent="0.35">
      <c r="A138" t="s">
        <v>15</v>
      </c>
      <c r="B138" t="s">
        <v>16</v>
      </c>
      <c r="C138" t="s">
        <v>61</v>
      </c>
      <c r="D138" t="s">
        <v>480</v>
      </c>
      <c r="E138" t="s">
        <v>642</v>
      </c>
      <c r="F138" t="s">
        <v>47</v>
      </c>
      <c r="G138" t="s">
        <v>482</v>
      </c>
      <c r="H138" t="s">
        <v>41</v>
      </c>
      <c r="I138" t="s">
        <v>58</v>
      </c>
      <c r="J138" s="1">
        <v>3780</v>
      </c>
      <c r="K138" t="s">
        <v>58</v>
      </c>
      <c r="L138" t="s">
        <v>643</v>
      </c>
      <c r="M138" t="s">
        <v>644</v>
      </c>
      <c r="N138">
        <v>8</v>
      </c>
      <c r="O138">
        <v>98643</v>
      </c>
    </row>
    <row r="139" spans="1:15" x14ac:dyDescent="0.35">
      <c r="A139" t="s">
        <v>15</v>
      </c>
      <c r="B139" t="s">
        <v>16</v>
      </c>
      <c r="C139" t="s">
        <v>61</v>
      </c>
      <c r="D139" t="s">
        <v>645</v>
      </c>
      <c r="E139" t="s">
        <v>646</v>
      </c>
      <c r="F139" t="s">
        <v>196</v>
      </c>
      <c r="G139" t="s">
        <v>647</v>
      </c>
      <c r="H139" t="s">
        <v>57</v>
      </c>
      <c r="I139" t="s">
        <v>23</v>
      </c>
      <c r="J139" s="1">
        <v>30870</v>
      </c>
      <c r="K139" t="s">
        <v>23</v>
      </c>
      <c r="L139" t="s">
        <v>648</v>
      </c>
      <c r="M139" t="s">
        <v>649</v>
      </c>
      <c r="N139">
        <v>7</v>
      </c>
      <c r="O139">
        <v>67044</v>
      </c>
    </row>
    <row r="140" spans="1:15" x14ac:dyDescent="0.35">
      <c r="A140" t="s">
        <v>15</v>
      </c>
      <c r="B140" t="s">
        <v>16</v>
      </c>
      <c r="C140" t="s">
        <v>61</v>
      </c>
      <c r="D140" t="s">
        <v>650</v>
      </c>
      <c r="E140" t="s">
        <v>651</v>
      </c>
      <c r="F140" t="s">
        <v>39</v>
      </c>
      <c r="G140" t="s">
        <v>95</v>
      </c>
      <c r="H140" t="s">
        <v>57</v>
      </c>
      <c r="I140" t="s">
        <v>23</v>
      </c>
      <c r="J140" s="1">
        <v>274280</v>
      </c>
      <c r="K140" t="s">
        <v>652</v>
      </c>
      <c r="L140" t="s">
        <v>653</v>
      </c>
      <c r="M140" t="s">
        <v>654</v>
      </c>
      <c r="O140">
        <v>187788</v>
      </c>
    </row>
    <row r="141" spans="1:15" x14ac:dyDescent="0.35">
      <c r="A141" t="s">
        <v>15</v>
      </c>
      <c r="B141" t="s">
        <v>27</v>
      </c>
      <c r="C141" t="s">
        <v>61</v>
      </c>
      <c r="D141" t="s">
        <v>655</v>
      </c>
      <c r="E141" t="s">
        <v>63</v>
      </c>
      <c r="F141" t="s">
        <v>244</v>
      </c>
      <c r="G141" t="s">
        <v>656</v>
      </c>
      <c r="H141" t="s">
        <v>115</v>
      </c>
      <c r="I141" t="s">
        <v>23</v>
      </c>
      <c r="J141" s="1">
        <v>300070</v>
      </c>
      <c r="K141" t="s">
        <v>657</v>
      </c>
      <c r="L141" t="s">
        <v>658</v>
      </c>
      <c r="M141" t="s">
        <v>659</v>
      </c>
      <c r="N141">
        <v>2</v>
      </c>
      <c r="O141">
        <v>197557</v>
      </c>
    </row>
    <row r="142" spans="1:15" x14ac:dyDescent="0.35">
      <c r="A142" t="s">
        <v>15</v>
      </c>
      <c r="B142" t="s">
        <v>99</v>
      </c>
      <c r="C142" t="s">
        <v>36</v>
      </c>
      <c r="D142" t="s">
        <v>574</v>
      </c>
      <c r="E142" t="s">
        <v>660</v>
      </c>
      <c r="F142" t="s">
        <v>399</v>
      </c>
      <c r="G142" t="s">
        <v>576</v>
      </c>
      <c r="H142" t="s">
        <v>115</v>
      </c>
      <c r="I142" t="s">
        <v>23</v>
      </c>
      <c r="J142" s="1">
        <v>78720</v>
      </c>
      <c r="K142" t="s">
        <v>661</v>
      </c>
      <c r="L142" t="s">
        <v>662</v>
      </c>
      <c r="M142" t="s">
        <v>663</v>
      </c>
      <c r="N142">
        <v>5</v>
      </c>
      <c r="O142">
        <v>148692.5</v>
      </c>
    </row>
    <row r="143" spans="1:15" x14ac:dyDescent="0.35">
      <c r="A143" t="s">
        <v>15</v>
      </c>
      <c r="B143" t="s">
        <v>16</v>
      </c>
      <c r="C143" t="s">
        <v>36</v>
      </c>
      <c r="D143" t="s">
        <v>664</v>
      </c>
      <c r="E143" t="s">
        <v>665</v>
      </c>
      <c r="F143" t="s">
        <v>39</v>
      </c>
      <c r="G143" t="s">
        <v>79</v>
      </c>
      <c r="H143" t="s">
        <v>41</v>
      </c>
      <c r="I143" t="s">
        <v>23</v>
      </c>
      <c r="J143" s="1">
        <v>94540</v>
      </c>
      <c r="K143" t="s">
        <v>666</v>
      </c>
      <c r="L143" t="s">
        <v>667</v>
      </c>
      <c r="M143" t="s">
        <v>118</v>
      </c>
      <c r="O143">
        <v>188604.5</v>
      </c>
    </row>
    <row r="144" spans="1:15" x14ac:dyDescent="0.35">
      <c r="A144" t="s">
        <v>15</v>
      </c>
      <c r="B144" t="s">
        <v>27</v>
      </c>
      <c r="C144" t="s">
        <v>17</v>
      </c>
      <c r="D144" t="s">
        <v>668</v>
      </c>
      <c r="E144" t="s">
        <v>507</v>
      </c>
      <c r="F144" t="s">
        <v>39</v>
      </c>
      <c r="G144" t="s">
        <v>238</v>
      </c>
      <c r="H144" t="s">
        <v>41</v>
      </c>
      <c r="I144" t="s">
        <v>58</v>
      </c>
      <c r="J144">
        <v>360</v>
      </c>
      <c r="K144" t="s">
        <v>669</v>
      </c>
      <c r="L144" t="s">
        <v>670</v>
      </c>
      <c r="M144" t="s">
        <v>60</v>
      </c>
      <c r="O144">
        <v>294100</v>
      </c>
    </row>
    <row r="145" spans="1:15" x14ac:dyDescent="0.35">
      <c r="A145" t="s">
        <v>15</v>
      </c>
      <c r="B145" t="s">
        <v>52</v>
      </c>
      <c r="C145" t="s">
        <v>36</v>
      </c>
      <c r="D145" t="s">
        <v>671</v>
      </c>
      <c r="E145" t="s">
        <v>672</v>
      </c>
      <c r="F145" t="s">
        <v>47</v>
      </c>
      <c r="G145" t="s">
        <v>90</v>
      </c>
      <c r="H145" t="s">
        <v>41</v>
      </c>
      <c r="I145" t="s">
        <v>58</v>
      </c>
      <c r="J145">
        <v>500</v>
      </c>
      <c r="K145" t="s">
        <v>58</v>
      </c>
      <c r="L145" t="s">
        <v>673</v>
      </c>
      <c r="M145" t="s">
        <v>60</v>
      </c>
      <c r="N145">
        <v>8</v>
      </c>
      <c r="O145">
        <v>141573.5</v>
      </c>
    </row>
    <row r="146" spans="1:15" x14ac:dyDescent="0.35">
      <c r="A146" t="s">
        <v>75</v>
      </c>
      <c r="B146" t="s">
        <v>16</v>
      </c>
      <c r="C146" t="s">
        <v>61</v>
      </c>
      <c r="D146" t="s">
        <v>317</v>
      </c>
      <c r="E146" t="s">
        <v>318</v>
      </c>
      <c r="F146" t="s">
        <v>341</v>
      </c>
      <c r="G146" t="s">
        <v>319</v>
      </c>
      <c r="H146" t="s">
        <v>320</v>
      </c>
      <c r="I146" t="s">
        <v>58</v>
      </c>
      <c r="J146" s="1">
        <v>38130</v>
      </c>
      <c r="K146" t="s">
        <v>674</v>
      </c>
      <c r="L146" t="s">
        <v>675</v>
      </c>
      <c r="M146" t="s">
        <v>323</v>
      </c>
      <c r="N146">
        <v>2</v>
      </c>
      <c r="O146">
        <v>26760</v>
      </c>
    </row>
    <row r="147" spans="1:15" x14ac:dyDescent="0.35">
      <c r="A147" t="s">
        <v>15</v>
      </c>
      <c r="B147" t="s">
        <v>99</v>
      </c>
      <c r="C147" t="s">
        <v>82</v>
      </c>
      <c r="D147" t="s">
        <v>676</v>
      </c>
      <c r="E147" t="s">
        <v>677</v>
      </c>
      <c r="F147" t="s">
        <v>39</v>
      </c>
      <c r="G147" t="s">
        <v>678</v>
      </c>
      <c r="H147" t="s">
        <v>41</v>
      </c>
      <c r="I147" t="s">
        <v>58</v>
      </c>
      <c r="J147">
        <v>60</v>
      </c>
      <c r="K147" t="s">
        <v>58</v>
      </c>
      <c r="L147" t="s">
        <v>679</v>
      </c>
      <c r="M147" t="s">
        <v>680</v>
      </c>
      <c r="O147">
        <v>146133</v>
      </c>
    </row>
    <row r="148" spans="1:15" x14ac:dyDescent="0.35">
      <c r="A148" t="s">
        <v>15</v>
      </c>
      <c r="B148" t="s">
        <v>16</v>
      </c>
      <c r="C148" t="s">
        <v>82</v>
      </c>
      <c r="D148" t="s">
        <v>681</v>
      </c>
      <c r="E148" t="s">
        <v>682</v>
      </c>
      <c r="F148" t="s">
        <v>399</v>
      </c>
      <c r="G148" t="s">
        <v>683</v>
      </c>
      <c r="H148" t="s">
        <v>115</v>
      </c>
      <c r="I148" t="s">
        <v>23</v>
      </c>
      <c r="J148" s="1">
        <v>28070</v>
      </c>
      <c r="K148" t="s">
        <v>23</v>
      </c>
      <c r="L148" t="s">
        <v>684</v>
      </c>
      <c r="M148" t="s">
        <v>685</v>
      </c>
      <c r="N148">
        <v>5</v>
      </c>
      <c r="O148">
        <v>89051</v>
      </c>
    </row>
    <row r="149" spans="1:15" x14ac:dyDescent="0.35">
      <c r="A149" t="s">
        <v>15</v>
      </c>
      <c r="B149" t="s">
        <v>27</v>
      </c>
      <c r="C149" t="s">
        <v>17</v>
      </c>
      <c r="D149" t="s">
        <v>334</v>
      </c>
      <c r="E149" t="s">
        <v>258</v>
      </c>
      <c r="F149" t="s">
        <v>39</v>
      </c>
      <c r="G149" t="s">
        <v>336</v>
      </c>
      <c r="H149" t="s">
        <v>57</v>
      </c>
      <c r="I149" t="s">
        <v>23</v>
      </c>
      <c r="J149" s="1">
        <v>68430</v>
      </c>
      <c r="K149" t="s">
        <v>23</v>
      </c>
      <c r="L149" t="s">
        <v>686</v>
      </c>
      <c r="M149" t="s">
        <v>687</v>
      </c>
      <c r="O149">
        <v>137002</v>
      </c>
    </row>
    <row r="150" spans="1:15" x14ac:dyDescent="0.35">
      <c r="A150" t="s">
        <v>15</v>
      </c>
      <c r="B150" t="s">
        <v>16</v>
      </c>
      <c r="C150" t="s">
        <v>61</v>
      </c>
      <c r="D150" t="s">
        <v>525</v>
      </c>
      <c r="E150" t="s">
        <v>688</v>
      </c>
      <c r="F150" t="s">
        <v>441</v>
      </c>
      <c r="G150" t="s">
        <v>527</v>
      </c>
      <c r="H150" t="s">
        <v>41</v>
      </c>
      <c r="I150" t="s">
        <v>23</v>
      </c>
      <c r="J150" s="1">
        <v>40050</v>
      </c>
      <c r="K150" t="s">
        <v>689</v>
      </c>
      <c r="L150" t="s">
        <v>690</v>
      </c>
      <c r="M150" t="s">
        <v>691</v>
      </c>
      <c r="N150">
        <v>10</v>
      </c>
      <c r="O150">
        <v>24621</v>
      </c>
    </row>
    <row r="151" spans="1:15" x14ac:dyDescent="0.35">
      <c r="A151" t="s">
        <v>15</v>
      </c>
      <c r="B151" t="s">
        <v>69</v>
      </c>
      <c r="C151" t="s">
        <v>61</v>
      </c>
      <c r="D151" t="s">
        <v>168</v>
      </c>
      <c r="E151" t="s">
        <v>128</v>
      </c>
      <c r="F151" t="s">
        <v>39</v>
      </c>
      <c r="G151" t="s">
        <v>169</v>
      </c>
      <c r="H151" t="s">
        <v>41</v>
      </c>
      <c r="I151" t="s">
        <v>23</v>
      </c>
      <c r="J151" s="1">
        <v>222040</v>
      </c>
      <c r="K151" t="s">
        <v>692</v>
      </c>
      <c r="L151" t="s">
        <v>693</v>
      </c>
      <c r="M151" t="s">
        <v>172</v>
      </c>
      <c r="O151">
        <v>10055</v>
      </c>
    </row>
    <row r="152" spans="1:15" x14ac:dyDescent="0.35">
      <c r="A152" t="s">
        <v>15</v>
      </c>
      <c r="B152" t="s">
        <v>16</v>
      </c>
      <c r="C152" t="s">
        <v>36</v>
      </c>
      <c r="D152" t="s">
        <v>694</v>
      </c>
      <c r="E152" t="s">
        <v>695</v>
      </c>
      <c r="F152" t="s">
        <v>39</v>
      </c>
      <c r="G152" t="s">
        <v>580</v>
      </c>
      <c r="H152" t="s">
        <v>41</v>
      </c>
      <c r="I152" t="s">
        <v>23</v>
      </c>
      <c r="J152" s="1">
        <v>26030</v>
      </c>
      <c r="K152" t="s">
        <v>696</v>
      </c>
      <c r="L152" t="s">
        <v>697</v>
      </c>
      <c r="M152" t="s">
        <v>698</v>
      </c>
      <c r="O152">
        <v>114171</v>
      </c>
    </row>
    <row r="153" spans="1:15" x14ac:dyDescent="0.35">
      <c r="A153" t="s">
        <v>15</v>
      </c>
      <c r="B153" t="s">
        <v>16</v>
      </c>
      <c r="C153" t="s">
        <v>61</v>
      </c>
      <c r="D153" t="s">
        <v>699</v>
      </c>
      <c r="E153" t="s">
        <v>318</v>
      </c>
      <c r="F153" t="s">
        <v>47</v>
      </c>
      <c r="G153" t="s">
        <v>594</v>
      </c>
      <c r="H153" t="s">
        <v>57</v>
      </c>
      <c r="I153" t="s">
        <v>23</v>
      </c>
      <c r="J153" s="1">
        <v>68160</v>
      </c>
      <c r="K153" t="s">
        <v>700</v>
      </c>
      <c r="L153" t="s">
        <v>701</v>
      </c>
      <c r="M153" t="s">
        <v>702</v>
      </c>
      <c r="N153">
        <v>8</v>
      </c>
      <c r="O153">
        <v>35853.5</v>
      </c>
    </row>
    <row r="154" spans="1:15" x14ac:dyDescent="0.35">
      <c r="A154" t="s">
        <v>15</v>
      </c>
      <c r="B154" t="s">
        <v>16</v>
      </c>
      <c r="C154" t="s">
        <v>61</v>
      </c>
      <c r="D154" t="s">
        <v>703</v>
      </c>
      <c r="E154" t="s">
        <v>128</v>
      </c>
      <c r="F154" t="s">
        <v>399</v>
      </c>
      <c r="G154" t="s">
        <v>169</v>
      </c>
      <c r="H154" t="s">
        <v>41</v>
      </c>
      <c r="I154" t="s">
        <v>23</v>
      </c>
      <c r="J154" s="1">
        <v>261060</v>
      </c>
      <c r="K154" t="s">
        <v>704</v>
      </c>
      <c r="L154" t="s">
        <v>705</v>
      </c>
      <c r="M154" t="s">
        <v>706</v>
      </c>
      <c r="N154">
        <v>5</v>
      </c>
      <c r="O154">
        <v>9583</v>
      </c>
    </row>
    <row r="155" spans="1:15" x14ac:dyDescent="0.35">
      <c r="A155" t="s">
        <v>15</v>
      </c>
      <c r="B155" t="s">
        <v>16</v>
      </c>
      <c r="C155" t="s">
        <v>36</v>
      </c>
      <c r="D155" t="s">
        <v>384</v>
      </c>
      <c r="E155" t="s">
        <v>398</v>
      </c>
      <c r="F155" t="s">
        <v>39</v>
      </c>
      <c r="G155" t="s">
        <v>386</v>
      </c>
      <c r="H155" t="s">
        <v>41</v>
      </c>
      <c r="I155" t="s">
        <v>23</v>
      </c>
      <c r="J155" s="1">
        <v>108650</v>
      </c>
      <c r="K155" t="s">
        <v>707</v>
      </c>
      <c r="L155" t="s">
        <v>708</v>
      </c>
      <c r="M155" t="s">
        <v>81</v>
      </c>
      <c r="O155">
        <v>68500</v>
      </c>
    </row>
    <row r="156" spans="1:15" x14ac:dyDescent="0.35">
      <c r="A156" t="s">
        <v>15</v>
      </c>
      <c r="B156" t="s">
        <v>16</v>
      </c>
      <c r="C156" t="s">
        <v>82</v>
      </c>
      <c r="D156" t="s">
        <v>709</v>
      </c>
      <c r="E156" t="s">
        <v>128</v>
      </c>
      <c r="F156" t="s">
        <v>64</v>
      </c>
      <c r="G156" t="s">
        <v>169</v>
      </c>
      <c r="H156" t="s">
        <v>41</v>
      </c>
      <c r="I156" t="s">
        <v>58</v>
      </c>
      <c r="J156" s="1">
        <v>15440</v>
      </c>
      <c r="K156" t="s">
        <v>710</v>
      </c>
      <c r="L156" t="s">
        <v>711</v>
      </c>
      <c r="M156" t="s">
        <v>712</v>
      </c>
      <c r="N156">
        <v>3</v>
      </c>
      <c r="O156">
        <v>36104</v>
      </c>
    </row>
    <row r="157" spans="1:15" x14ac:dyDescent="0.35">
      <c r="A157" t="s">
        <v>15</v>
      </c>
      <c r="B157" t="s">
        <v>16</v>
      </c>
      <c r="C157" t="s">
        <v>17</v>
      </c>
      <c r="D157" t="s">
        <v>713</v>
      </c>
      <c r="E157" t="s">
        <v>714</v>
      </c>
      <c r="F157" t="s">
        <v>399</v>
      </c>
      <c r="G157" t="s">
        <v>715</v>
      </c>
      <c r="H157" t="s">
        <v>41</v>
      </c>
      <c r="I157" t="s">
        <v>58</v>
      </c>
      <c r="J157">
        <v>31</v>
      </c>
      <c r="K157" t="s">
        <v>58</v>
      </c>
      <c r="L157" t="s">
        <v>716</v>
      </c>
      <c r="M157" t="s">
        <v>717</v>
      </c>
      <c r="N157">
        <v>5</v>
      </c>
      <c r="O157">
        <v>55906</v>
      </c>
    </row>
    <row r="158" spans="1:15" x14ac:dyDescent="0.35">
      <c r="A158" t="s">
        <v>15</v>
      </c>
      <c r="B158" t="s">
        <v>99</v>
      </c>
      <c r="C158" t="s">
        <v>17</v>
      </c>
      <c r="D158" t="s">
        <v>718</v>
      </c>
      <c r="E158" t="s">
        <v>719</v>
      </c>
      <c r="F158" t="s">
        <v>20</v>
      </c>
      <c r="G158" t="s">
        <v>720</v>
      </c>
      <c r="H158" t="s">
        <v>115</v>
      </c>
      <c r="I158" t="s">
        <v>23</v>
      </c>
      <c r="J158">
        <v>613</v>
      </c>
      <c r="K158" t="s">
        <v>23</v>
      </c>
      <c r="L158" t="s">
        <v>721</v>
      </c>
      <c r="M158" t="s">
        <v>200</v>
      </c>
      <c r="N158">
        <v>17</v>
      </c>
      <c r="O158">
        <v>95115</v>
      </c>
    </row>
    <row r="159" spans="1:15" x14ac:dyDescent="0.35">
      <c r="A159" t="s">
        <v>15</v>
      </c>
      <c r="B159" t="s">
        <v>99</v>
      </c>
      <c r="C159" t="s">
        <v>36</v>
      </c>
      <c r="D159" t="s">
        <v>429</v>
      </c>
      <c r="E159" t="s">
        <v>430</v>
      </c>
      <c r="F159" t="s">
        <v>47</v>
      </c>
      <c r="G159" t="s">
        <v>432</v>
      </c>
      <c r="H159" t="s">
        <v>41</v>
      </c>
      <c r="I159" t="s">
        <v>23</v>
      </c>
      <c r="J159" s="1">
        <v>24820</v>
      </c>
      <c r="K159" t="s">
        <v>722</v>
      </c>
      <c r="L159" t="s">
        <v>723</v>
      </c>
      <c r="M159" t="s">
        <v>189</v>
      </c>
      <c r="N159">
        <v>8</v>
      </c>
      <c r="O159">
        <v>82373</v>
      </c>
    </row>
    <row r="160" spans="1:15" x14ac:dyDescent="0.35">
      <c r="A160" t="s">
        <v>15</v>
      </c>
      <c r="B160" t="s">
        <v>16</v>
      </c>
      <c r="C160" t="s">
        <v>82</v>
      </c>
      <c r="D160" t="s">
        <v>724</v>
      </c>
      <c r="E160" t="s">
        <v>228</v>
      </c>
      <c r="F160" t="s">
        <v>30</v>
      </c>
      <c r="G160" t="s">
        <v>725</v>
      </c>
      <c r="H160" t="s">
        <v>115</v>
      </c>
      <c r="I160" t="s">
        <v>23</v>
      </c>
      <c r="J160" s="1">
        <v>1020</v>
      </c>
      <c r="K160" t="s">
        <v>23</v>
      </c>
      <c r="L160" t="s">
        <v>726</v>
      </c>
      <c r="M160" t="s">
        <v>727</v>
      </c>
      <c r="N160">
        <v>15</v>
      </c>
      <c r="O160">
        <v>112114.5</v>
      </c>
    </row>
    <row r="161" spans="1:15" x14ac:dyDescent="0.35">
      <c r="A161" t="s">
        <v>15</v>
      </c>
      <c r="B161" t="s">
        <v>16</v>
      </c>
      <c r="C161" t="s">
        <v>61</v>
      </c>
      <c r="D161" t="s">
        <v>728</v>
      </c>
      <c r="E161" t="s">
        <v>63</v>
      </c>
      <c r="F161" t="s">
        <v>513</v>
      </c>
      <c r="G161" t="s">
        <v>729</v>
      </c>
      <c r="H161" t="s">
        <v>41</v>
      </c>
      <c r="I161" t="s">
        <v>23</v>
      </c>
      <c r="J161" s="1">
        <v>11060</v>
      </c>
      <c r="K161" t="s">
        <v>23</v>
      </c>
      <c r="L161" t="s">
        <v>730</v>
      </c>
      <c r="M161" t="s">
        <v>731</v>
      </c>
      <c r="N161">
        <v>22</v>
      </c>
      <c r="O161">
        <v>116458</v>
      </c>
    </row>
    <row r="162" spans="1:15" x14ac:dyDescent="0.35">
      <c r="A162" t="s">
        <v>15</v>
      </c>
      <c r="B162" t="s">
        <v>16</v>
      </c>
      <c r="C162" t="s">
        <v>36</v>
      </c>
      <c r="D162" t="s">
        <v>119</v>
      </c>
      <c r="E162" t="s">
        <v>732</v>
      </c>
      <c r="F162" t="s">
        <v>39</v>
      </c>
      <c r="G162" t="s">
        <v>121</v>
      </c>
      <c r="H162" t="s">
        <v>41</v>
      </c>
      <c r="I162" t="s">
        <v>58</v>
      </c>
      <c r="J162">
        <v>45</v>
      </c>
      <c r="K162" t="s">
        <v>58</v>
      </c>
      <c r="L162" t="s">
        <v>733</v>
      </c>
      <c r="M162" t="s">
        <v>118</v>
      </c>
      <c r="O162">
        <v>194540</v>
      </c>
    </row>
    <row r="163" spans="1:15" x14ac:dyDescent="0.35">
      <c r="A163" t="s">
        <v>15</v>
      </c>
      <c r="B163" t="s">
        <v>16</v>
      </c>
      <c r="C163" t="s">
        <v>61</v>
      </c>
      <c r="D163" t="s">
        <v>734</v>
      </c>
      <c r="E163" t="s">
        <v>735</v>
      </c>
      <c r="F163" t="s">
        <v>39</v>
      </c>
      <c r="G163" t="s">
        <v>65</v>
      </c>
      <c r="H163" t="s">
        <v>57</v>
      </c>
      <c r="I163" t="s">
        <v>23</v>
      </c>
      <c r="J163" s="1">
        <v>88990</v>
      </c>
      <c r="K163" t="s">
        <v>736</v>
      </c>
      <c r="L163" t="s">
        <v>737</v>
      </c>
      <c r="M163" t="s">
        <v>200</v>
      </c>
      <c r="O163">
        <v>27403</v>
      </c>
    </row>
    <row r="164" spans="1:15" x14ac:dyDescent="0.35">
      <c r="A164" t="s">
        <v>15</v>
      </c>
      <c r="B164" t="s">
        <v>99</v>
      </c>
      <c r="C164" t="s">
        <v>82</v>
      </c>
      <c r="D164" t="s">
        <v>738</v>
      </c>
      <c r="E164" t="s">
        <v>739</v>
      </c>
      <c r="F164" t="s">
        <v>64</v>
      </c>
      <c r="G164" t="s">
        <v>740</v>
      </c>
      <c r="H164" t="s">
        <v>41</v>
      </c>
      <c r="I164" t="s">
        <v>58</v>
      </c>
      <c r="J164">
        <v>90</v>
      </c>
      <c r="K164" t="s">
        <v>58</v>
      </c>
      <c r="L164" t="s">
        <v>741</v>
      </c>
      <c r="M164" t="s">
        <v>118</v>
      </c>
      <c r="N164">
        <v>3</v>
      </c>
      <c r="O164">
        <v>152987</v>
      </c>
    </row>
    <row r="165" spans="1:15" x14ac:dyDescent="0.35">
      <c r="A165" t="s">
        <v>15</v>
      </c>
      <c r="B165" t="s">
        <v>16</v>
      </c>
      <c r="C165" t="s">
        <v>36</v>
      </c>
      <c r="D165" t="s">
        <v>742</v>
      </c>
      <c r="E165" t="s">
        <v>743</v>
      </c>
      <c r="F165" t="s">
        <v>30</v>
      </c>
      <c r="G165" t="s">
        <v>744</v>
      </c>
      <c r="H165" t="s">
        <v>41</v>
      </c>
      <c r="I165" t="s">
        <v>23</v>
      </c>
      <c r="J165" s="1">
        <v>182338</v>
      </c>
      <c r="K165" t="s">
        <v>745</v>
      </c>
      <c r="L165" t="s">
        <v>746</v>
      </c>
      <c r="M165" t="s">
        <v>659</v>
      </c>
      <c r="N165">
        <v>15</v>
      </c>
      <c r="O165">
        <v>224776</v>
      </c>
    </row>
    <row r="166" spans="1:15" x14ac:dyDescent="0.35">
      <c r="A166" t="s">
        <v>15</v>
      </c>
      <c r="B166" t="s">
        <v>16</v>
      </c>
      <c r="C166" t="s">
        <v>61</v>
      </c>
      <c r="D166" t="s">
        <v>747</v>
      </c>
      <c r="E166" t="s">
        <v>128</v>
      </c>
      <c r="F166" t="s">
        <v>113</v>
      </c>
      <c r="G166" t="s">
        <v>65</v>
      </c>
      <c r="H166" t="s">
        <v>41</v>
      </c>
      <c r="I166" t="s">
        <v>58</v>
      </c>
      <c r="J166" s="1">
        <v>3540</v>
      </c>
      <c r="K166" t="s">
        <v>58</v>
      </c>
      <c r="L166" t="s">
        <v>748</v>
      </c>
      <c r="M166" t="s">
        <v>749</v>
      </c>
      <c r="N166">
        <v>19</v>
      </c>
      <c r="O166">
        <v>19234</v>
      </c>
    </row>
    <row r="167" spans="1:15" x14ac:dyDescent="0.35">
      <c r="A167" t="s">
        <v>15</v>
      </c>
      <c r="B167" t="s">
        <v>27</v>
      </c>
      <c r="C167" t="s">
        <v>36</v>
      </c>
      <c r="D167" t="s">
        <v>750</v>
      </c>
      <c r="E167" t="s">
        <v>751</v>
      </c>
      <c r="F167" t="s">
        <v>341</v>
      </c>
      <c r="G167" t="s">
        <v>752</v>
      </c>
      <c r="H167" t="s">
        <v>41</v>
      </c>
      <c r="I167" t="s">
        <v>23</v>
      </c>
      <c r="J167" s="1">
        <v>20070</v>
      </c>
      <c r="K167" t="s">
        <v>23</v>
      </c>
      <c r="L167" t="s">
        <v>753</v>
      </c>
      <c r="M167" t="s">
        <v>754</v>
      </c>
      <c r="N167">
        <v>2</v>
      </c>
      <c r="O167">
        <v>90697</v>
      </c>
    </row>
    <row r="168" spans="1:15" x14ac:dyDescent="0.35">
      <c r="A168" t="s">
        <v>75</v>
      </c>
      <c r="B168" t="s">
        <v>52</v>
      </c>
      <c r="C168" t="s">
        <v>36</v>
      </c>
      <c r="D168" t="s">
        <v>755</v>
      </c>
      <c r="E168" t="s">
        <v>544</v>
      </c>
      <c r="F168" t="s">
        <v>139</v>
      </c>
      <c r="G168" t="s">
        <v>756</v>
      </c>
      <c r="H168" t="s">
        <v>41</v>
      </c>
      <c r="I168" t="s">
        <v>58</v>
      </c>
      <c r="J168">
        <v>31</v>
      </c>
      <c r="K168" t="s">
        <v>58</v>
      </c>
      <c r="L168" t="s">
        <v>546</v>
      </c>
      <c r="M168" t="s">
        <v>60</v>
      </c>
      <c r="N168">
        <v>13</v>
      </c>
      <c r="O168">
        <v>248888.5</v>
      </c>
    </row>
    <row r="169" spans="1:15" x14ac:dyDescent="0.35">
      <c r="A169" t="s">
        <v>15</v>
      </c>
      <c r="B169" t="s">
        <v>16</v>
      </c>
      <c r="C169" t="s">
        <v>36</v>
      </c>
      <c r="D169" t="s">
        <v>757</v>
      </c>
      <c r="E169" t="s">
        <v>228</v>
      </c>
      <c r="F169" t="s">
        <v>78</v>
      </c>
      <c r="G169" t="s">
        <v>758</v>
      </c>
      <c r="H169" t="s">
        <v>41</v>
      </c>
      <c r="I169" t="s">
        <v>23</v>
      </c>
      <c r="J169" s="1">
        <v>212610</v>
      </c>
      <c r="K169" t="s">
        <v>759</v>
      </c>
      <c r="L169" t="s">
        <v>760</v>
      </c>
      <c r="M169" t="s">
        <v>761</v>
      </c>
      <c r="N169">
        <v>9</v>
      </c>
      <c r="O169">
        <v>151895</v>
      </c>
    </row>
    <row r="170" spans="1:15" x14ac:dyDescent="0.35">
      <c r="A170" t="s">
        <v>15</v>
      </c>
      <c r="B170" t="s">
        <v>16</v>
      </c>
      <c r="C170" t="s">
        <v>36</v>
      </c>
      <c r="D170" t="s">
        <v>762</v>
      </c>
      <c r="E170" t="s">
        <v>763</v>
      </c>
      <c r="F170" t="s">
        <v>513</v>
      </c>
      <c r="G170" t="s">
        <v>764</v>
      </c>
      <c r="H170" t="s">
        <v>115</v>
      </c>
      <c r="I170" t="s">
        <v>23</v>
      </c>
      <c r="J170" s="1">
        <v>37990</v>
      </c>
      <c r="K170" t="s">
        <v>23</v>
      </c>
      <c r="L170" t="s">
        <v>765</v>
      </c>
      <c r="M170" t="s">
        <v>766</v>
      </c>
      <c r="N170">
        <v>22</v>
      </c>
      <c r="O170">
        <v>52987</v>
      </c>
    </row>
    <row r="171" spans="1:15" x14ac:dyDescent="0.35">
      <c r="A171" t="s">
        <v>15</v>
      </c>
      <c r="B171" t="s">
        <v>27</v>
      </c>
      <c r="C171" t="s">
        <v>61</v>
      </c>
      <c r="D171" t="s">
        <v>767</v>
      </c>
      <c r="E171" t="s">
        <v>768</v>
      </c>
      <c r="F171" t="s">
        <v>30</v>
      </c>
      <c r="G171" t="s">
        <v>769</v>
      </c>
      <c r="H171" t="s">
        <v>41</v>
      </c>
      <c r="I171" t="s">
        <v>23</v>
      </c>
      <c r="J171" s="1">
        <v>65120</v>
      </c>
      <c r="K171" t="s">
        <v>23</v>
      </c>
      <c r="L171" t="s">
        <v>770</v>
      </c>
      <c r="M171" t="s">
        <v>771</v>
      </c>
      <c r="N171">
        <v>15</v>
      </c>
      <c r="O171">
        <v>115086</v>
      </c>
    </row>
    <row r="172" spans="1:15" x14ac:dyDescent="0.35">
      <c r="A172" t="s">
        <v>15</v>
      </c>
      <c r="B172" t="s">
        <v>16</v>
      </c>
      <c r="C172" t="s">
        <v>82</v>
      </c>
      <c r="D172" t="s">
        <v>772</v>
      </c>
      <c r="E172" t="s">
        <v>228</v>
      </c>
      <c r="F172" t="s">
        <v>39</v>
      </c>
      <c r="G172" t="s">
        <v>773</v>
      </c>
      <c r="H172" t="s">
        <v>41</v>
      </c>
      <c r="I172" t="s">
        <v>23</v>
      </c>
      <c r="J172" s="1">
        <v>55070</v>
      </c>
      <c r="K172" t="s">
        <v>774</v>
      </c>
      <c r="L172" t="s">
        <v>775</v>
      </c>
      <c r="M172" t="s">
        <v>81</v>
      </c>
      <c r="O172">
        <v>100467</v>
      </c>
    </row>
    <row r="173" spans="1:15" x14ac:dyDescent="0.35">
      <c r="A173" t="s">
        <v>75</v>
      </c>
      <c r="B173" t="s">
        <v>16</v>
      </c>
      <c r="C173" t="s">
        <v>17</v>
      </c>
      <c r="D173" t="s">
        <v>45</v>
      </c>
      <c r="E173" t="s">
        <v>776</v>
      </c>
      <c r="F173" t="s">
        <v>30</v>
      </c>
      <c r="G173" t="s">
        <v>48</v>
      </c>
      <c r="H173" t="s">
        <v>41</v>
      </c>
      <c r="I173" t="s">
        <v>23</v>
      </c>
      <c r="J173" s="1">
        <v>34690</v>
      </c>
      <c r="K173" t="s">
        <v>777</v>
      </c>
      <c r="L173" t="s">
        <v>778</v>
      </c>
      <c r="M173" t="s">
        <v>779</v>
      </c>
      <c r="N173">
        <v>15</v>
      </c>
      <c r="O173">
        <v>170793.5</v>
      </c>
    </row>
    <row r="174" spans="1:15" x14ac:dyDescent="0.35">
      <c r="A174" t="s">
        <v>15</v>
      </c>
      <c r="B174" t="s">
        <v>16</v>
      </c>
      <c r="C174" t="s">
        <v>36</v>
      </c>
      <c r="D174" t="s">
        <v>780</v>
      </c>
      <c r="E174" t="s">
        <v>781</v>
      </c>
      <c r="F174" t="s">
        <v>47</v>
      </c>
      <c r="G174" t="s">
        <v>514</v>
      </c>
      <c r="H174" t="s">
        <v>41</v>
      </c>
      <c r="I174" t="s">
        <v>58</v>
      </c>
      <c r="J174" s="1">
        <v>2540</v>
      </c>
      <c r="K174" t="s">
        <v>782</v>
      </c>
      <c r="L174" t="s">
        <v>783</v>
      </c>
      <c r="M174" t="s">
        <v>118</v>
      </c>
      <c r="N174">
        <v>8</v>
      </c>
      <c r="O174">
        <v>143853</v>
      </c>
    </row>
    <row r="175" spans="1:15" x14ac:dyDescent="0.35">
      <c r="A175" t="s">
        <v>75</v>
      </c>
      <c r="B175" t="s">
        <v>16</v>
      </c>
      <c r="C175" t="s">
        <v>61</v>
      </c>
      <c r="D175" t="s">
        <v>784</v>
      </c>
      <c r="E175" t="s">
        <v>61</v>
      </c>
      <c r="F175" t="s">
        <v>785</v>
      </c>
      <c r="G175" t="s">
        <v>786</v>
      </c>
      <c r="H175" t="s">
        <v>41</v>
      </c>
      <c r="I175" t="s">
        <v>58</v>
      </c>
      <c r="J175">
        <v>910</v>
      </c>
      <c r="K175" t="s">
        <v>787</v>
      </c>
      <c r="L175" t="s">
        <v>788</v>
      </c>
      <c r="M175" t="s">
        <v>60</v>
      </c>
      <c r="N175">
        <v>2</v>
      </c>
      <c r="O175">
        <v>44207</v>
      </c>
    </row>
    <row r="176" spans="1:15" x14ac:dyDescent="0.35">
      <c r="A176" t="s">
        <v>15</v>
      </c>
      <c r="B176" t="s">
        <v>16</v>
      </c>
      <c r="C176" t="s">
        <v>82</v>
      </c>
      <c r="D176" t="s">
        <v>789</v>
      </c>
      <c r="E176" t="s">
        <v>790</v>
      </c>
      <c r="F176" t="s">
        <v>441</v>
      </c>
      <c r="G176" t="s">
        <v>791</v>
      </c>
      <c r="H176" t="s">
        <v>41</v>
      </c>
      <c r="I176" t="s">
        <v>23</v>
      </c>
      <c r="J176" s="1">
        <v>14460</v>
      </c>
      <c r="K176" t="s">
        <v>792</v>
      </c>
      <c r="L176" t="s">
        <v>793</v>
      </c>
      <c r="M176" t="s">
        <v>794</v>
      </c>
      <c r="N176">
        <v>10</v>
      </c>
      <c r="O176">
        <v>142479.5</v>
      </c>
    </row>
    <row r="177" spans="1:15" x14ac:dyDescent="0.35">
      <c r="A177" t="s">
        <v>15</v>
      </c>
      <c r="B177" t="s">
        <v>27</v>
      </c>
      <c r="C177" t="s">
        <v>36</v>
      </c>
      <c r="D177" t="s">
        <v>795</v>
      </c>
      <c r="E177" t="s">
        <v>796</v>
      </c>
      <c r="F177" t="s">
        <v>85</v>
      </c>
      <c r="G177" t="s">
        <v>797</v>
      </c>
      <c r="H177" t="s">
        <v>41</v>
      </c>
      <c r="I177" t="s">
        <v>58</v>
      </c>
      <c r="J177" s="1">
        <v>14040</v>
      </c>
      <c r="K177" t="s">
        <v>58</v>
      </c>
      <c r="L177" t="s">
        <v>798</v>
      </c>
      <c r="M177" t="s">
        <v>81</v>
      </c>
      <c r="N177">
        <v>6</v>
      </c>
      <c r="O177">
        <v>195911</v>
      </c>
    </row>
    <row r="178" spans="1:15" x14ac:dyDescent="0.35">
      <c r="A178" t="s">
        <v>15</v>
      </c>
      <c r="B178" t="s">
        <v>99</v>
      </c>
      <c r="C178" t="s">
        <v>82</v>
      </c>
      <c r="D178" t="s">
        <v>799</v>
      </c>
      <c r="E178" t="s">
        <v>800</v>
      </c>
      <c r="F178" t="s">
        <v>203</v>
      </c>
      <c r="G178" t="s">
        <v>801</v>
      </c>
      <c r="H178" t="s">
        <v>57</v>
      </c>
      <c r="I178" t="s">
        <v>23</v>
      </c>
      <c r="J178" s="1">
        <v>7290</v>
      </c>
      <c r="K178" t="s">
        <v>23</v>
      </c>
      <c r="L178" t="s">
        <v>802</v>
      </c>
      <c r="M178" t="s">
        <v>803</v>
      </c>
      <c r="N178">
        <v>25</v>
      </c>
      <c r="O178">
        <v>177143</v>
      </c>
    </row>
    <row r="179" spans="1:15" x14ac:dyDescent="0.35">
      <c r="A179" t="s">
        <v>15</v>
      </c>
      <c r="B179" t="s">
        <v>16</v>
      </c>
      <c r="C179" t="s">
        <v>82</v>
      </c>
      <c r="D179" t="s">
        <v>804</v>
      </c>
      <c r="E179" t="s">
        <v>84</v>
      </c>
      <c r="F179" t="s">
        <v>39</v>
      </c>
      <c r="G179" t="s">
        <v>229</v>
      </c>
      <c r="H179" t="s">
        <v>41</v>
      </c>
      <c r="I179" t="s">
        <v>58</v>
      </c>
      <c r="J179">
        <v>960</v>
      </c>
      <c r="K179" t="s">
        <v>805</v>
      </c>
      <c r="L179" t="s">
        <v>806</v>
      </c>
      <c r="M179" t="s">
        <v>60</v>
      </c>
      <c r="O179">
        <v>195229.5</v>
      </c>
    </row>
    <row r="180" spans="1:15" x14ac:dyDescent="0.35">
      <c r="A180" t="s">
        <v>15</v>
      </c>
      <c r="B180" t="s">
        <v>16</v>
      </c>
      <c r="C180" t="s">
        <v>17</v>
      </c>
      <c r="D180" t="s">
        <v>807</v>
      </c>
      <c r="E180" t="s">
        <v>776</v>
      </c>
      <c r="F180" t="s">
        <v>244</v>
      </c>
      <c r="G180" t="s">
        <v>65</v>
      </c>
      <c r="H180" t="s">
        <v>41</v>
      </c>
      <c r="I180" t="s">
        <v>58</v>
      </c>
      <c r="J180">
        <v>750</v>
      </c>
      <c r="K180" t="s">
        <v>58</v>
      </c>
      <c r="L180" t="s">
        <v>808</v>
      </c>
      <c r="M180" t="s">
        <v>118</v>
      </c>
      <c r="N180">
        <v>2</v>
      </c>
      <c r="O180">
        <v>153602.5</v>
      </c>
    </row>
    <row r="181" spans="1:15" x14ac:dyDescent="0.35">
      <c r="A181" t="s">
        <v>15</v>
      </c>
      <c r="B181" t="s">
        <v>52</v>
      </c>
      <c r="C181" t="s">
        <v>36</v>
      </c>
      <c r="D181" t="s">
        <v>809</v>
      </c>
      <c r="E181" t="s">
        <v>54</v>
      </c>
      <c r="F181" t="s">
        <v>139</v>
      </c>
      <c r="G181" t="s">
        <v>90</v>
      </c>
      <c r="H181" t="s">
        <v>41</v>
      </c>
      <c r="I181" t="s">
        <v>58</v>
      </c>
      <c r="J181">
        <v>600</v>
      </c>
      <c r="K181" t="s">
        <v>810</v>
      </c>
      <c r="L181" t="s">
        <v>811</v>
      </c>
      <c r="M181" t="s">
        <v>60</v>
      </c>
      <c r="N181">
        <v>13</v>
      </c>
      <c r="O181">
        <v>135859.5</v>
      </c>
    </row>
    <row r="182" spans="1:15" x14ac:dyDescent="0.35">
      <c r="A182" t="s">
        <v>15</v>
      </c>
      <c r="B182" t="s">
        <v>16</v>
      </c>
      <c r="C182" t="s">
        <v>61</v>
      </c>
      <c r="D182" t="s">
        <v>812</v>
      </c>
      <c r="E182" t="s">
        <v>813</v>
      </c>
      <c r="F182" t="s">
        <v>89</v>
      </c>
      <c r="G182" t="s">
        <v>814</v>
      </c>
      <c r="H182" t="s">
        <v>57</v>
      </c>
      <c r="I182" t="s">
        <v>23</v>
      </c>
      <c r="J182" s="1">
        <v>60010</v>
      </c>
      <c r="K182" t="s">
        <v>815</v>
      </c>
      <c r="L182" t="s">
        <v>816</v>
      </c>
      <c r="M182" t="s">
        <v>200</v>
      </c>
      <c r="O182">
        <v>59677</v>
      </c>
    </row>
    <row r="183" spans="1:15" x14ac:dyDescent="0.35">
      <c r="A183" t="s">
        <v>15</v>
      </c>
      <c r="B183" t="s">
        <v>16</v>
      </c>
      <c r="C183" t="s">
        <v>36</v>
      </c>
      <c r="D183" t="s">
        <v>817</v>
      </c>
      <c r="E183" t="s">
        <v>818</v>
      </c>
      <c r="F183" t="s">
        <v>47</v>
      </c>
      <c r="G183" t="s">
        <v>819</v>
      </c>
      <c r="H183" t="s">
        <v>115</v>
      </c>
      <c r="I183" t="s">
        <v>23</v>
      </c>
      <c r="J183" s="1">
        <v>48050</v>
      </c>
      <c r="K183" t="s">
        <v>820</v>
      </c>
      <c r="L183" t="s">
        <v>821</v>
      </c>
      <c r="M183" t="s">
        <v>822</v>
      </c>
      <c r="N183">
        <v>8</v>
      </c>
      <c r="O183">
        <v>121480</v>
      </c>
    </row>
    <row r="184" spans="1:15" x14ac:dyDescent="0.35">
      <c r="A184" t="s">
        <v>15</v>
      </c>
      <c r="B184" t="s">
        <v>99</v>
      </c>
      <c r="C184" t="s">
        <v>36</v>
      </c>
      <c r="D184" t="s">
        <v>823</v>
      </c>
      <c r="E184" t="s">
        <v>824</v>
      </c>
      <c r="F184" t="s">
        <v>64</v>
      </c>
      <c r="G184" t="s">
        <v>825</v>
      </c>
      <c r="H184" t="s">
        <v>41</v>
      </c>
      <c r="I184" t="s">
        <v>58</v>
      </c>
      <c r="J184" s="1">
        <v>12090</v>
      </c>
      <c r="K184" t="s">
        <v>58</v>
      </c>
      <c r="L184" t="s">
        <v>826</v>
      </c>
      <c r="M184" t="s">
        <v>827</v>
      </c>
      <c r="N184">
        <v>3</v>
      </c>
      <c r="O184">
        <v>13173</v>
      </c>
    </row>
    <row r="185" spans="1:15" x14ac:dyDescent="0.35">
      <c r="A185" t="s">
        <v>15</v>
      </c>
      <c r="B185" t="s">
        <v>16</v>
      </c>
      <c r="C185" t="s">
        <v>82</v>
      </c>
      <c r="D185" t="s">
        <v>828</v>
      </c>
      <c r="E185" t="s">
        <v>84</v>
      </c>
      <c r="F185" t="s">
        <v>244</v>
      </c>
      <c r="G185" t="s">
        <v>829</v>
      </c>
      <c r="H185" t="s">
        <v>41</v>
      </c>
      <c r="I185" t="s">
        <v>58</v>
      </c>
      <c r="J185">
        <v>351</v>
      </c>
      <c r="K185" t="s">
        <v>58</v>
      </c>
      <c r="L185" t="s">
        <v>830</v>
      </c>
      <c r="M185" t="s">
        <v>60</v>
      </c>
      <c r="N185">
        <v>2</v>
      </c>
      <c r="O185">
        <v>164400</v>
      </c>
    </row>
    <row r="186" spans="1:15" x14ac:dyDescent="0.35">
      <c r="A186" t="s">
        <v>15</v>
      </c>
      <c r="B186" t="s">
        <v>16</v>
      </c>
      <c r="C186" t="s">
        <v>36</v>
      </c>
      <c r="D186" t="s">
        <v>831</v>
      </c>
      <c r="E186" t="s">
        <v>268</v>
      </c>
      <c r="F186" t="s">
        <v>39</v>
      </c>
      <c r="G186" t="s">
        <v>90</v>
      </c>
      <c r="H186" t="s">
        <v>41</v>
      </c>
      <c r="I186" t="s">
        <v>23</v>
      </c>
      <c r="J186" s="1">
        <v>65870</v>
      </c>
      <c r="K186" t="s">
        <v>832</v>
      </c>
      <c r="L186" t="s">
        <v>833</v>
      </c>
      <c r="M186" t="s">
        <v>51</v>
      </c>
      <c r="O186">
        <v>170615</v>
      </c>
    </row>
    <row r="187" spans="1:15" x14ac:dyDescent="0.35">
      <c r="A187" t="s">
        <v>15</v>
      </c>
      <c r="B187" t="s">
        <v>16</v>
      </c>
      <c r="C187" t="s">
        <v>36</v>
      </c>
      <c r="D187" t="s">
        <v>485</v>
      </c>
      <c r="E187" t="s">
        <v>834</v>
      </c>
      <c r="F187" t="s">
        <v>85</v>
      </c>
      <c r="G187" t="s">
        <v>65</v>
      </c>
      <c r="H187" t="s">
        <v>22</v>
      </c>
      <c r="I187" t="s">
        <v>23</v>
      </c>
      <c r="J187" s="1">
        <v>130020</v>
      </c>
      <c r="K187" t="s">
        <v>486</v>
      </c>
      <c r="L187" t="s">
        <v>835</v>
      </c>
      <c r="M187" t="s">
        <v>81</v>
      </c>
      <c r="N187">
        <v>6</v>
      </c>
      <c r="O187">
        <v>137000</v>
      </c>
    </row>
    <row r="188" spans="1:15" x14ac:dyDescent="0.35">
      <c r="A188" t="s">
        <v>15</v>
      </c>
      <c r="B188" t="s">
        <v>16</v>
      </c>
      <c r="C188" t="s">
        <v>17</v>
      </c>
      <c r="D188" t="s">
        <v>836</v>
      </c>
      <c r="E188" t="s">
        <v>837</v>
      </c>
      <c r="F188" t="s">
        <v>47</v>
      </c>
      <c r="G188" t="s">
        <v>838</v>
      </c>
      <c r="H188" t="s">
        <v>41</v>
      </c>
      <c r="I188" t="s">
        <v>23</v>
      </c>
      <c r="J188" s="1">
        <v>132060</v>
      </c>
      <c r="K188" t="s">
        <v>839</v>
      </c>
      <c r="L188" t="s">
        <v>840</v>
      </c>
      <c r="M188" t="s">
        <v>841</v>
      </c>
      <c r="N188">
        <v>8</v>
      </c>
      <c r="O188">
        <v>92254</v>
      </c>
    </row>
    <row r="189" spans="1:15" x14ac:dyDescent="0.35">
      <c r="A189" t="s">
        <v>15</v>
      </c>
      <c r="B189" t="s">
        <v>16</v>
      </c>
      <c r="C189" t="s">
        <v>61</v>
      </c>
      <c r="D189" t="s">
        <v>842</v>
      </c>
      <c r="E189" t="s">
        <v>843</v>
      </c>
      <c r="F189" t="s">
        <v>244</v>
      </c>
      <c r="G189" t="s">
        <v>786</v>
      </c>
      <c r="H189" t="s">
        <v>57</v>
      </c>
      <c r="I189" t="s">
        <v>58</v>
      </c>
      <c r="J189" s="1">
        <v>78060</v>
      </c>
      <c r="K189" t="s">
        <v>58</v>
      </c>
      <c r="L189" t="s">
        <v>844</v>
      </c>
      <c r="M189" t="s">
        <v>845</v>
      </c>
      <c r="N189">
        <v>2</v>
      </c>
      <c r="O189">
        <v>12924</v>
      </c>
    </row>
    <row r="190" spans="1:15" x14ac:dyDescent="0.35">
      <c r="A190" t="s">
        <v>15</v>
      </c>
      <c r="B190" t="s">
        <v>16</v>
      </c>
      <c r="C190" t="s">
        <v>82</v>
      </c>
      <c r="D190" t="s">
        <v>846</v>
      </c>
      <c r="E190" t="s">
        <v>84</v>
      </c>
      <c r="F190" t="s">
        <v>847</v>
      </c>
      <c r="G190" t="s">
        <v>90</v>
      </c>
      <c r="H190" t="s">
        <v>41</v>
      </c>
      <c r="I190" t="s">
        <v>58</v>
      </c>
      <c r="J190" s="1">
        <v>1890</v>
      </c>
      <c r="K190" t="s">
        <v>848</v>
      </c>
      <c r="L190" t="s">
        <v>849</v>
      </c>
      <c r="M190" t="s">
        <v>60</v>
      </c>
      <c r="N190">
        <v>16</v>
      </c>
      <c r="O190">
        <v>237881.5</v>
      </c>
    </row>
    <row r="191" spans="1:15" x14ac:dyDescent="0.35">
      <c r="A191" t="s">
        <v>15</v>
      </c>
      <c r="B191" t="s">
        <v>16</v>
      </c>
      <c r="C191" t="s">
        <v>36</v>
      </c>
      <c r="D191" t="s">
        <v>111</v>
      </c>
      <c r="E191" t="s">
        <v>850</v>
      </c>
      <c r="F191" t="s">
        <v>89</v>
      </c>
      <c r="G191" t="s">
        <v>114</v>
      </c>
      <c r="H191" t="s">
        <v>115</v>
      </c>
      <c r="I191" t="s">
        <v>23</v>
      </c>
      <c r="J191" s="1">
        <v>128860</v>
      </c>
      <c r="K191" t="s">
        <v>851</v>
      </c>
      <c r="L191" t="s">
        <v>852</v>
      </c>
      <c r="M191" t="s">
        <v>853</v>
      </c>
      <c r="O191">
        <v>114170.5</v>
      </c>
    </row>
    <row r="192" spans="1:15" x14ac:dyDescent="0.35">
      <c r="A192" t="s">
        <v>15</v>
      </c>
      <c r="B192" t="s">
        <v>16</v>
      </c>
      <c r="C192" t="s">
        <v>36</v>
      </c>
      <c r="D192" t="s">
        <v>854</v>
      </c>
      <c r="E192" t="s">
        <v>855</v>
      </c>
      <c r="F192" t="s">
        <v>856</v>
      </c>
      <c r="G192" t="s">
        <v>65</v>
      </c>
      <c r="H192" t="s">
        <v>41</v>
      </c>
      <c r="I192" t="s">
        <v>23</v>
      </c>
      <c r="J192" s="1">
        <v>24320</v>
      </c>
      <c r="K192" t="s">
        <v>23</v>
      </c>
      <c r="L192" t="s">
        <v>857</v>
      </c>
      <c r="M192" t="s">
        <v>858</v>
      </c>
      <c r="N192">
        <v>23</v>
      </c>
      <c r="O192">
        <v>156181.5</v>
      </c>
    </row>
    <row r="193" spans="1:15" x14ac:dyDescent="0.35">
      <c r="A193" t="s">
        <v>15</v>
      </c>
      <c r="B193" t="s">
        <v>27</v>
      </c>
      <c r="C193" t="s">
        <v>36</v>
      </c>
      <c r="D193" t="s">
        <v>582</v>
      </c>
      <c r="E193" t="s">
        <v>502</v>
      </c>
      <c r="F193" t="s">
        <v>30</v>
      </c>
      <c r="G193" t="s">
        <v>584</v>
      </c>
      <c r="H193" t="s">
        <v>57</v>
      </c>
      <c r="I193" t="s">
        <v>58</v>
      </c>
      <c r="J193" s="1">
        <v>33050</v>
      </c>
      <c r="K193" t="s">
        <v>58</v>
      </c>
      <c r="L193" t="s">
        <v>835</v>
      </c>
      <c r="M193" t="s">
        <v>586</v>
      </c>
      <c r="N193">
        <v>15</v>
      </c>
      <c r="O193">
        <v>137000</v>
      </c>
    </row>
    <row r="194" spans="1:15" x14ac:dyDescent="0.35">
      <c r="A194" t="s">
        <v>15</v>
      </c>
      <c r="B194" t="s">
        <v>16</v>
      </c>
      <c r="C194" t="s">
        <v>61</v>
      </c>
      <c r="D194" t="s">
        <v>859</v>
      </c>
      <c r="E194" t="s">
        <v>860</v>
      </c>
      <c r="F194" t="s">
        <v>244</v>
      </c>
      <c r="G194" t="s">
        <v>861</v>
      </c>
      <c r="H194" t="s">
        <v>41</v>
      </c>
      <c r="I194" t="s">
        <v>58</v>
      </c>
      <c r="J194">
        <v>420</v>
      </c>
      <c r="K194" t="s">
        <v>58</v>
      </c>
      <c r="L194" t="s">
        <v>862</v>
      </c>
      <c r="M194" t="s">
        <v>863</v>
      </c>
      <c r="N194">
        <v>2</v>
      </c>
      <c r="O194">
        <v>116283.5</v>
      </c>
    </row>
    <row r="195" spans="1:15" x14ac:dyDescent="0.35">
      <c r="A195" t="s">
        <v>15</v>
      </c>
      <c r="B195" t="s">
        <v>27</v>
      </c>
      <c r="C195" t="s">
        <v>61</v>
      </c>
      <c r="D195" t="s">
        <v>864</v>
      </c>
      <c r="E195" t="s">
        <v>865</v>
      </c>
      <c r="F195" t="s">
        <v>125</v>
      </c>
      <c r="G195" t="s">
        <v>866</v>
      </c>
      <c r="H195" t="s">
        <v>41</v>
      </c>
      <c r="I195" t="s">
        <v>58</v>
      </c>
      <c r="J195">
        <v>180</v>
      </c>
      <c r="K195" t="s">
        <v>58</v>
      </c>
      <c r="L195" t="s">
        <v>867</v>
      </c>
      <c r="M195" t="s">
        <v>868</v>
      </c>
      <c r="N195">
        <v>14</v>
      </c>
      <c r="O195">
        <v>123305</v>
      </c>
    </row>
    <row r="196" spans="1:15" x14ac:dyDescent="0.35">
      <c r="A196" t="s">
        <v>15</v>
      </c>
      <c r="B196" t="s">
        <v>16</v>
      </c>
      <c r="C196" t="s">
        <v>36</v>
      </c>
      <c r="D196" t="s">
        <v>869</v>
      </c>
      <c r="E196" t="s">
        <v>54</v>
      </c>
      <c r="F196" t="s">
        <v>39</v>
      </c>
      <c r="G196" t="s">
        <v>65</v>
      </c>
      <c r="H196" t="s">
        <v>41</v>
      </c>
      <c r="I196" t="s">
        <v>58</v>
      </c>
      <c r="J196">
        <v>420</v>
      </c>
      <c r="K196" t="s">
        <v>58</v>
      </c>
      <c r="L196" t="s">
        <v>870</v>
      </c>
      <c r="M196" t="s">
        <v>60</v>
      </c>
      <c r="O196">
        <v>155723.5</v>
      </c>
    </row>
    <row r="197" spans="1:15" x14ac:dyDescent="0.35">
      <c r="A197" t="s">
        <v>15</v>
      </c>
      <c r="B197" t="s">
        <v>16</v>
      </c>
      <c r="C197" t="s">
        <v>61</v>
      </c>
      <c r="D197" t="s">
        <v>488</v>
      </c>
      <c r="E197" t="s">
        <v>871</v>
      </c>
      <c r="F197" t="s">
        <v>30</v>
      </c>
      <c r="G197" t="s">
        <v>417</v>
      </c>
      <c r="H197" t="s">
        <v>41</v>
      </c>
      <c r="I197" t="s">
        <v>23</v>
      </c>
      <c r="J197" s="1">
        <v>97070</v>
      </c>
      <c r="K197" t="s">
        <v>872</v>
      </c>
      <c r="L197" t="s">
        <v>873</v>
      </c>
      <c r="M197" t="s">
        <v>874</v>
      </c>
      <c r="N197">
        <v>15</v>
      </c>
      <c r="O197">
        <v>156822</v>
      </c>
    </row>
    <row r="198" spans="1:15" x14ac:dyDescent="0.35">
      <c r="A198" t="s">
        <v>75</v>
      </c>
      <c r="B198" t="s">
        <v>16</v>
      </c>
      <c r="C198" t="s">
        <v>61</v>
      </c>
      <c r="D198" t="s">
        <v>875</v>
      </c>
      <c r="E198" t="s">
        <v>876</v>
      </c>
      <c r="F198" t="s">
        <v>196</v>
      </c>
      <c r="G198" t="s">
        <v>797</v>
      </c>
      <c r="H198" t="s">
        <v>115</v>
      </c>
      <c r="I198" t="s">
        <v>58</v>
      </c>
      <c r="J198">
        <v>250</v>
      </c>
      <c r="K198" t="s">
        <v>58</v>
      </c>
      <c r="L198" t="s">
        <v>877</v>
      </c>
      <c r="M198" t="s">
        <v>147</v>
      </c>
      <c r="N198">
        <v>7</v>
      </c>
      <c r="O198">
        <v>201851</v>
      </c>
    </row>
    <row r="199" spans="1:15" x14ac:dyDescent="0.35">
      <c r="A199" t="s">
        <v>15</v>
      </c>
      <c r="B199" t="s">
        <v>16</v>
      </c>
      <c r="C199" t="s">
        <v>17</v>
      </c>
      <c r="D199" t="s">
        <v>392</v>
      </c>
      <c r="E199" t="s">
        <v>878</v>
      </c>
      <c r="F199" t="s">
        <v>394</v>
      </c>
      <c r="G199" t="s">
        <v>90</v>
      </c>
      <c r="H199" t="s">
        <v>57</v>
      </c>
      <c r="I199" t="s">
        <v>58</v>
      </c>
      <c r="J199">
        <v>780</v>
      </c>
      <c r="K199" t="s">
        <v>879</v>
      </c>
      <c r="L199" t="s">
        <v>880</v>
      </c>
      <c r="M199" t="s">
        <v>60</v>
      </c>
      <c r="N199">
        <v>11</v>
      </c>
      <c r="O199">
        <v>182216.5</v>
      </c>
    </row>
    <row r="200" spans="1:15" x14ac:dyDescent="0.35">
      <c r="A200" t="s">
        <v>75</v>
      </c>
      <c r="B200" t="s">
        <v>16</v>
      </c>
      <c r="C200" t="s">
        <v>36</v>
      </c>
      <c r="D200" t="s">
        <v>461</v>
      </c>
      <c r="E200" t="s">
        <v>462</v>
      </c>
      <c r="F200" t="s">
        <v>30</v>
      </c>
      <c r="G200" t="s">
        <v>463</v>
      </c>
      <c r="H200" t="s">
        <v>41</v>
      </c>
      <c r="I200" t="s">
        <v>23</v>
      </c>
      <c r="J200" s="1">
        <v>10100</v>
      </c>
      <c r="K200" t="s">
        <v>464</v>
      </c>
      <c r="L200" t="s">
        <v>881</v>
      </c>
      <c r="M200" t="s">
        <v>274</v>
      </c>
      <c r="N200">
        <v>15</v>
      </c>
      <c r="O200">
        <v>63941</v>
      </c>
    </row>
    <row r="201" spans="1:15" x14ac:dyDescent="0.35">
      <c r="A201" t="s">
        <v>15</v>
      </c>
      <c r="B201" t="s">
        <v>52</v>
      </c>
      <c r="C201" t="s">
        <v>82</v>
      </c>
      <c r="D201" t="s">
        <v>326</v>
      </c>
      <c r="E201" t="s">
        <v>84</v>
      </c>
      <c r="F201" t="s">
        <v>312</v>
      </c>
      <c r="G201" t="s">
        <v>90</v>
      </c>
      <c r="H201" t="s">
        <v>41</v>
      </c>
      <c r="I201" t="s">
        <v>58</v>
      </c>
      <c r="J201">
        <v>420</v>
      </c>
      <c r="K201" t="s">
        <v>882</v>
      </c>
      <c r="L201" t="s">
        <v>883</v>
      </c>
      <c r="M201" t="s">
        <v>60</v>
      </c>
      <c r="N201">
        <v>4</v>
      </c>
      <c r="O201">
        <v>213594</v>
      </c>
    </row>
    <row r="202" spans="1:15" x14ac:dyDescent="0.35">
      <c r="A202" t="s">
        <v>75</v>
      </c>
      <c r="B202" t="s">
        <v>27</v>
      </c>
      <c r="C202" t="s">
        <v>61</v>
      </c>
      <c r="D202" t="s">
        <v>784</v>
      </c>
      <c r="E202" t="s">
        <v>61</v>
      </c>
      <c r="F202" t="s">
        <v>884</v>
      </c>
      <c r="G202" t="s">
        <v>786</v>
      </c>
      <c r="H202" t="s">
        <v>41</v>
      </c>
      <c r="I202" t="s">
        <v>58</v>
      </c>
      <c r="J202">
        <v>910</v>
      </c>
      <c r="K202" t="s">
        <v>885</v>
      </c>
      <c r="L202" t="s">
        <v>886</v>
      </c>
      <c r="M202" t="s">
        <v>60</v>
      </c>
      <c r="O202">
        <v>44202</v>
      </c>
    </row>
    <row r="203" spans="1:15" x14ac:dyDescent="0.35">
      <c r="A203" t="s">
        <v>15</v>
      </c>
      <c r="B203" t="s">
        <v>16</v>
      </c>
      <c r="C203" t="s">
        <v>17</v>
      </c>
      <c r="D203" t="s">
        <v>887</v>
      </c>
      <c r="E203" t="s">
        <v>888</v>
      </c>
      <c r="F203" t="s">
        <v>39</v>
      </c>
      <c r="G203" t="s">
        <v>229</v>
      </c>
      <c r="H203" t="s">
        <v>57</v>
      </c>
      <c r="I203" t="s">
        <v>58</v>
      </c>
      <c r="J203">
        <v>660</v>
      </c>
      <c r="K203" t="s">
        <v>889</v>
      </c>
      <c r="L203" t="s">
        <v>890</v>
      </c>
      <c r="M203" t="s">
        <v>891</v>
      </c>
      <c r="O203">
        <v>82201.5</v>
      </c>
    </row>
    <row r="204" spans="1:15" x14ac:dyDescent="0.35">
      <c r="A204" t="s">
        <v>15</v>
      </c>
      <c r="B204" t="s">
        <v>52</v>
      </c>
      <c r="C204" t="s">
        <v>36</v>
      </c>
      <c r="D204" t="s">
        <v>892</v>
      </c>
      <c r="E204" t="s">
        <v>893</v>
      </c>
      <c r="F204" t="s">
        <v>244</v>
      </c>
      <c r="G204" t="s">
        <v>894</v>
      </c>
      <c r="H204" t="s">
        <v>41</v>
      </c>
      <c r="I204" t="s">
        <v>58</v>
      </c>
      <c r="J204" s="1">
        <v>3800</v>
      </c>
      <c r="K204" t="s">
        <v>58</v>
      </c>
      <c r="L204" t="s">
        <v>895</v>
      </c>
      <c r="M204" t="s">
        <v>60</v>
      </c>
      <c r="N204">
        <v>2</v>
      </c>
      <c r="O204">
        <v>61375</v>
      </c>
    </row>
    <row r="205" spans="1:15" x14ac:dyDescent="0.35">
      <c r="A205" t="s">
        <v>15</v>
      </c>
      <c r="B205" t="s">
        <v>16</v>
      </c>
      <c r="C205" t="s">
        <v>36</v>
      </c>
      <c r="D205" t="s">
        <v>232</v>
      </c>
      <c r="E205" t="s">
        <v>233</v>
      </c>
      <c r="F205" t="s">
        <v>399</v>
      </c>
      <c r="G205" t="s">
        <v>234</v>
      </c>
      <c r="H205" t="s">
        <v>41</v>
      </c>
      <c r="I205" t="s">
        <v>23</v>
      </c>
      <c r="J205" s="1">
        <v>9020</v>
      </c>
      <c r="K205" t="s">
        <v>23</v>
      </c>
      <c r="L205" t="s">
        <v>896</v>
      </c>
      <c r="M205" t="s">
        <v>897</v>
      </c>
      <c r="N205">
        <v>5</v>
      </c>
      <c r="O205">
        <v>9140</v>
      </c>
    </row>
    <row r="206" spans="1:15" x14ac:dyDescent="0.35">
      <c r="A206" t="s">
        <v>15</v>
      </c>
      <c r="B206" t="s">
        <v>16</v>
      </c>
      <c r="C206" t="s">
        <v>36</v>
      </c>
      <c r="D206" t="s">
        <v>898</v>
      </c>
      <c r="E206" t="s">
        <v>899</v>
      </c>
      <c r="F206" t="s">
        <v>30</v>
      </c>
      <c r="G206" t="s">
        <v>900</v>
      </c>
      <c r="H206" t="s">
        <v>41</v>
      </c>
      <c r="I206" t="s">
        <v>23</v>
      </c>
      <c r="J206" s="1">
        <v>3780</v>
      </c>
      <c r="K206" t="s">
        <v>901</v>
      </c>
      <c r="L206" t="s">
        <v>902</v>
      </c>
      <c r="M206" t="s">
        <v>51</v>
      </c>
      <c r="N206">
        <v>15</v>
      </c>
      <c r="O206">
        <v>171710</v>
      </c>
    </row>
    <row r="207" spans="1:15" x14ac:dyDescent="0.35">
      <c r="A207" t="s">
        <v>75</v>
      </c>
      <c r="B207" t="s">
        <v>52</v>
      </c>
      <c r="C207" t="s">
        <v>17</v>
      </c>
      <c r="D207" t="s">
        <v>903</v>
      </c>
      <c r="E207" t="s">
        <v>904</v>
      </c>
      <c r="F207" t="s">
        <v>89</v>
      </c>
      <c r="G207" t="s">
        <v>90</v>
      </c>
      <c r="H207" t="s">
        <v>41</v>
      </c>
      <c r="I207" t="s">
        <v>58</v>
      </c>
      <c r="J207">
        <v>900</v>
      </c>
      <c r="K207" t="s">
        <v>905</v>
      </c>
      <c r="L207" t="s">
        <v>906</v>
      </c>
      <c r="M207" t="s">
        <v>60</v>
      </c>
      <c r="O207">
        <v>144491</v>
      </c>
    </row>
    <row r="208" spans="1:15" x14ac:dyDescent="0.35">
      <c r="A208" t="s">
        <v>15</v>
      </c>
      <c r="B208" t="s">
        <v>16</v>
      </c>
      <c r="C208" t="s">
        <v>82</v>
      </c>
      <c r="D208" t="s">
        <v>454</v>
      </c>
      <c r="E208" t="s">
        <v>84</v>
      </c>
      <c r="F208" t="s">
        <v>394</v>
      </c>
      <c r="G208" t="s">
        <v>412</v>
      </c>
      <c r="H208" t="s">
        <v>41</v>
      </c>
      <c r="I208" t="s">
        <v>23</v>
      </c>
      <c r="J208" s="1">
        <v>2780</v>
      </c>
      <c r="K208" t="s">
        <v>23</v>
      </c>
      <c r="L208" t="s">
        <v>907</v>
      </c>
      <c r="M208" t="s">
        <v>60</v>
      </c>
      <c r="N208">
        <v>11</v>
      </c>
      <c r="O208">
        <v>188519.5</v>
      </c>
    </row>
    <row r="209" spans="1:15" x14ac:dyDescent="0.35">
      <c r="A209" t="s">
        <v>15</v>
      </c>
      <c r="B209" t="s">
        <v>16</v>
      </c>
      <c r="C209" t="s">
        <v>36</v>
      </c>
      <c r="D209" t="s">
        <v>908</v>
      </c>
      <c r="E209" t="s">
        <v>77</v>
      </c>
      <c r="F209" t="s">
        <v>64</v>
      </c>
      <c r="G209" t="s">
        <v>909</v>
      </c>
      <c r="H209" t="s">
        <v>41</v>
      </c>
      <c r="I209" t="s">
        <v>23</v>
      </c>
      <c r="J209" s="1">
        <v>3760</v>
      </c>
      <c r="K209" t="s">
        <v>910</v>
      </c>
      <c r="L209" t="s">
        <v>911</v>
      </c>
      <c r="M209" t="s">
        <v>189</v>
      </c>
      <c r="N209">
        <v>3</v>
      </c>
      <c r="O209">
        <v>220344</v>
      </c>
    </row>
    <row r="210" spans="1:15" x14ac:dyDescent="0.35">
      <c r="A210" t="s">
        <v>15</v>
      </c>
      <c r="B210" t="s">
        <v>16</v>
      </c>
      <c r="C210" t="s">
        <v>82</v>
      </c>
      <c r="D210" t="s">
        <v>912</v>
      </c>
      <c r="E210" t="s">
        <v>84</v>
      </c>
      <c r="F210" t="s">
        <v>196</v>
      </c>
      <c r="G210" t="s">
        <v>913</v>
      </c>
      <c r="H210" t="s">
        <v>41</v>
      </c>
      <c r="I210" t="s">
        <v>58</v>
      </c>
      <c r="J210">
        <v>270</v>
      </c>
      <c r="K210" t="s">
        <v>58</v>
      </c>
      <c r="L210" t="s">
        <v>914</v>
      </c>
      <c r="M210" t="s">
        <v>60</v>
      </c>
      <c r="N210">
        <v>7</v>
      </c>
      <c r="O210">
        <v>146138</v>
      </c>
    </row>
    <row r="211" spans="1:15" x14ac:dyDescent="0.35">
      <c r="A211" t="s">
        <v>15</v>
      </c>
      <c r="B211" t="s">
        <v>16</v>
      </c>
      <c r="C211" t="s">
        <v>36</v>
      </c>
      <c r="D211" t="s">
        <v>915</v>
      </c>
      <c r="E211" t="s">
        <v>540</v>
      </c>
      <c r="F211" t="s">
        <v>39</v>
      </c>
      <c r="G211" t="s">
        <v>916</v>
      </c>
      <c r="H211" t="s">
        <v>57</v>
      </c>
      <c r="I211" t="s">
        <v>23</v>
      </c>
      <c r="J211" s="1">
        <v>62010</v>
      </c>
      <c r="K211" t="s">
        <v>917</v>
      </c>
      <c r="L211" t="s">
        <v>918</v>
      </c>
      <c r="M211" t="s">
        <v>919</v>
      </c>
      <c r="O211">
        <v>210405.5</v>
      </c>
    </row>
    <row r="212" spans="1:15" x14ac:dyDescent="0.35">
      <c r="A212" t="s">
        <v>15</v>
      </c>
      <c r="B212" t="s">
        <v>99</v>
      </c>
      <c r="C212" t="s">
        <v>36</v>
      </c>
      <c r="D212" t="s">
        <v>920</v>
      </c>
      <c r="E212" t="s">
        <v>860</v>
      </c>
      <c r="F212" t="s">
        <v>85</v>
      </c>
      <c r="G212" t="s">
        <v>921</v>
      </c>
      <c r="H212" t="s">
        <v>22</v>
      </c>
      <c r="I212" t="s">
        <v>23</v>
      </c>
      <c r="J212" s="1">
        <v>55120</v>
      </c>
      <c r="K212" t="s">
        <v>922</v>
      </c>
      <c r="L212" t="s">
        <v>923</v>
      </c>
      <c r="M212" t="s">
        <v>924</v>
      </c>
      <c r="N212">
        <v>6</v>
      </c>
      <c r="O212">
        <v>130064.5</v>
      </c>
    </row>
    <row r="213" spans="1:15" x14ac:dyDescent="0.35">
      <c r="A213" t="s">
        <v>15</v>
      </c>
      <c r="B213" t="s">
        <v>16</v>
      </c>
      <c r="C213" t="s">
        <v>36</v>
      </c>
      <c r="D213" t="s">
        <v>762</v>
      </c>
      <c r="E213" t="s">
        <v>763</v>
      </c>
      <c r="F213" t="s">
        <v>30</v>
      </c>
      <c r="G213" t="s">
        <v>764</v>
      </c>
      <c r="H213" t="s">
        <v>115</v>
      </c>
      <c r="I213" t="s">
        <v>23</v>
      </c>
      <c r="J213" s="1">
        <v>37970</v>
      </c>
      <c r="K213" t="s">
        <v>23</v>
      </c>
      <c r="L213" t="s">
        <v>925</v>
      </c>
      <c r="M213" t="s">
        <v>256</v>
      </c>
      <c r="N213">
        <v>15</v>
      </c>
      <c r="O213">
        <v>57318</v>
      </c>
    </row>
    <row r="214" spans="1:15" x14ac:dyDescent="0.35">
      <c r="A214" t="s">
        <v>15</v>
      </c>
      <c r="B214" t="s">
        <v>16</v>
      </c>
      <c r="C214" t="s">
        <v>36</v>
      </c>
      <c r="D214" t="s">
        <v>869</v>
      </c>
      <c r="E214" t="s">
        <v>54</v>
      </c>
      <c r="F214" t="s">
        <v>39</v>
      </c>
      <c r="G214" t="s">
        <v>65</v>
      </c>
      <c r="H214" t="s">
        <v>41</v>
      </c>
      <c r="I214" t="s">
        <v>58</v>
      </c>
      <c r="J214">
        <v>420</v>
      </c>
      <c r="K214" t="s">
        <v>58</v>
      </c>
      <c r="L214" t="s">
        <v>926</v>
      </c>
      <c r="M214" t="s">
        <v>60</v>
      </c>
      <c r="O214">
        <v>229706</v>
      </c>
    </row>
    <row r="215" spans="1:15" x14ac:dyDescent="0.35">
      <c r="A215" t="s">
        <v>15</v>
      </c>
      <c r="B215" t="s">
        <v>52</v>
      </c>
      <c r="C215" t="s">
        <v>17</v>
      </c>
      <c r="D215" t="s">
        <v>927</v>
      </c>
      <c r="E215" t="s">
        <v>928</v>
      </c>
      <c r="F215" t="s">
        <v>399</v>
      </c>
      <c r="G215" t="s">
        <v>86</v>
      </c>
      <c r="H215" t="s">
        <v>22</v>
      </c>
      <c r="I215" t="s">
        <v>23</v>
      </c>
      <c r="J215" s="1">
        <v>17010</v>
      </c>
      <c r="K215" t="s">
        <v>23</v>
      </c>
      <c r="L215" t="s">
        <v>929</v>
      </c>
      <c r="M215" t="s">
        <v>60</v>
      </c>
      <c r="N215">
        <v>5</v>
      </c>
      <c r="O215">
        <v>135632.5</v>
      </c>
    </row>
    <row r="216" spans="1:15" x14ac:dyDescent="0.35">
      <c r="A216" t="s">
        <v>15</v>
      </c>
      <c r="B216" t="s">
        <v>16</v>
      </c>
      <c r="C216" t="s">
        <v>61</v>
      </c>
      <c r="D216" t="s">
        <v>930</v>
      </c>
      <c r="E216" t="s">
        <v>228</v>
      </c>
      <c r="F216" t="s">
        <v>441</v>
      </c>
      <c r="G216" t="s">
        <v>931</v>
      </c>
      <c r="H216" t="s">
        <v>41</v>
      </c>
      <c r="I216" t="s">
        <v>23</v>
      </c>
      <c r="J216" s="1">
        <v>8270</v>
      </c>
      <c r="K216" t="s">
        <v>932</v>
      </c>
      <c r="L216" t="s">
        <v>933</v>
      </c>
      <c r="M216" t="s">
        <v>934</v>
      </c>
      <c r="N216">
        <v>10</v>
      </c>
      <c r="O216">
        <v>113437.5</v>
      </c>
    </row>
    <row r="217" spans="1:15" x14ac:dyDescent="0.35">
      <c r="A217" t="s">
        <v>15</v>
      </c>
      <c r="B217" t="s">
        <v>16</v>
      </c>
      <c r="C217" t="s">
        <v>82</v>
      </c>
      <c r="D217" t="s">
        <v>799</v>
      </c>
      <c r="E217" t="s">
        <v>120</v>
      </c>
      <c r="F217" t="s">
        <v>39</v>
      </c>
      <c r="G217" t="s">
        <v>801</v>
      </c>
      <c r="H217" t="s">
        <v>57</v>
      </c>
      <c r="I217" t="s">
        <v>23</v>
      </c>
      <c r="J217" s="1">
        <v>7290</v>
      </c>
      <c r="K217" t="s">
        <v>23</v>
      </c>
      <c r="L217" t="s">
        <v>935</v>
      </c>
      <c r="M217" t="s">
        <v>803</v>
      </c>
      <c r="O217">
        <v>120989.5</v>
      </c>
    </row>
    <row r="218" spans="1:15" x14ac:dyDescent="0.35">
      <c r="A218" t="s">
        <v>75</v>
      </c>
      <c r="B218" t="s">
        <v>99</v>
      </c>
      <c r="C218" t="s">
        <v>36</v>
      </c>
      <c r="D218" t="s">
        <v>795</v>
      </c>
      <c r="E218" t="s">
        <v>63</v>
      </c>
      <c r="F218" t="s">
        <v>125</v>
      </c>
      <c r="G218" t="s">
        <v>797</v>
      </c>
      <c r="H218" t="s">
        <v>41</v>
      </c>
      <c r="I218" t="s">
        <v>58</v>
      </c>
      <c r="J218" s="1">
        <v>14060</v>
      </c>
      <c r="K218" t="s">
        <v>58</v>
      </c>
      <c r="L218" t="s">
        <v>936</v>
      </c>
      <c r="M218" t="s">
        <v>937</v>
      </c>
      <c r="N218">
        <v>14</v>
      </c>
      <c r="O218">
        <v>184127</v>
      </c>
    </row>
    <row r="219" spans="1:15" x14ac:dyDescent="0.35">
      <c r="A219" t="s">
        <v>15</v>
      </c>
      <c r="B219" t="s">
        <v>16</v>
      </c>
      <c r="C219" t="s">
        <v>36</v>
      </c>
      <c r="D219" t="s">
        <v>938</v>
      </c>
      <c r="E219" t="s">
        <v>54</v>
      </c>
      <c r="F219" t="s">
        <v>939</v>
      </c>
      <c r="G219" t="s">
        <v>90</v>
      </c>
      <c r="H219" t="s">
        <v>41</v>
      </c>
      <c r="I219" t="s">
        <v>58</v>
      </c>
      <c r="J219">
        <v>320</v>
      </c>
      <c r="K219" t="s">
        <v>58</v>
      </c>
      <c r="L219" t="s">
        <v>940</v>
      </c>
      <c r="M219" t="s">
        <v>60</v>
      </c>
      <c r="N219">
        <v>4</v>
      </c>
      <c r="O219">
        <v>28130</v>
      </c>
    </row>
    <row r="220" spans="1:15" x14ac:dyDescent="0.35">
      <c r="A220" t="s">
        <v>15</v>
      </c>
      <c r="B220" t="s">
        <v>99</v>
      </c>
      <c r="C220" t="s">
        <v>36</v>
      </c>
      <c r="D220" t="s">
        <v>941</v>
      </c>
      <c r="E220" t="s">
        <v>165</v>
      </c>
      <c r="F220" t="s">
        <v>30</v>
      </c>
      <c r="G220" t="s">
        <v>942</v>
      </c>
      <c r="H220" t="s">
        <v>41</v>
      </c>
      <c r="I220" t="s">
        <v>23</v>
      </c>
      <c r="J220" s="1">
        <v>9770</v>
      </c>
      <c r="K220" t="s">
        <v>23</v>
      </c>
      <c r="L220" t="s">
        <v>943</v>
      </c>
      <c r="M220" t="s">
        <v>944</v>
      </c>
      <c r="N220">
        <v>15</v>
      </c>
      <c r="O220">
        <v>186282</v>
      </c>
    </row>
    <row r="221" spans="1:15" x14ac:dyDescent="0.35">
      <c r="A221" t="s">
        <v>15</v>
      </c>
      <c r="B221" t="s">
        <v>16</v>
      </c>
      <c r="C221" t="s">
        <v>36</v>
      </c>
      <c r="D221" t="s">
        <v>945</v>
      </c>
      <c r="E221" t="s">
        <v>94</v>
      </c>
      <c r="F221" t="s">
        <v>39</v>
      </c>
      <c r="G221" t="s">
        <v>946</v>
      </c>
      <c r="H221" t="s">
        <v>57</v>
      </c>
      <c r="I221" t="s">
        <v>58</v>
      </c>
      <c r="J221" s="1">
        <v>1280</v>
      </c>
      <c r="K221" t="s">
        <v>58</v>
      </c>
      <c r="L221" t="s">
        <v>947</v>
      </c>
      <c r="M221" t="s">
        <v>948</v>
      </c>
      <c r="O221">
        <v>84578.5</v>
      </c>
    </row>
    <row r="222" spans="1:15" x14ac:dyDescent="0.35">
      <c r="A222" t="s">
        <v>15</v>
      </c>
      <c r="B222" t="s">
        <v>16</v>
      </c>
      <c r="C222" t="s">
        <v>17</v>
      </c>
      <c r="D222" t="s">
        <v>949</v>
      </c>
      <c r="E222" t="s">
        <v>950</v>
      </c>
      <c r="F222" t="s">
        <v>30</v>
      </c>
      <c r="G222" t="s">
        <v>951</v>
      </c>
      <c r="H222" t="s">
        <v>41</v>
      </c>
      <c r="I222" t="s">
        <v>23</v>
      </c>
      <c r="J222">
        <v>351</v>
      </c>
      <c r="K222" t="s">
        <v>23</v>
      </c>
      <c r="L222" t="s">
        <v>952</v>
      </c>
      <c r="M222" t="s">
        <v>953</v>
      </c>
      <c r="N222">
        <v>15</v>
      </c>
      <c r="O222">
        <v>114170</v>
      </c>
    </row>
    <row r="223" spans="1:15" x14ac:dyDescent="0.35">
      <c r="A223" t="s">
        <v>15</v>
      </c>
      <c r="B223" t="s">
        <v>16</v>
      </c>
      <c r="C223" t="s">
        <v>17</v>
      </c>
      <c r="D223" t="s">
        <v>954</v>
      </c>
      <c r="E223" t="s">
        <v>335</v>
      </c>
      <c r="F223" t="s">
        <v>39</v>
      </c>
      <c r="G223" t="s">
        <v>48</v>
      </c>
      <c r="H223" t="s">
        <v>41</v>
      </c>
      <c r="I223" t="s">
        <v>23</v>
      </c>
      <c r="J223" s="1">
        <v>98130</v>
      </c>
      <c r="K223" t="s">
        <v>955</v>
      </c>
      <c r="L223" t="s">
        <v>956</v>
      </c>
      <c r="M223" t="s">
        <v>957</v>
      </c>
      <c r="O223">
        <v>32665</v>
      </c>
    </row>
    <row r="224" spans="1:15" x14ac:dyDescent="0.35">
      <c r="A224" t="s">
        <v>15</v>
      </c>
      <c r="B224" t="s">
        <v>16</v>
      </c>
      <c r="C224" t="s">
        <v>82</v>
      </c>
      <c r="D224" t="s">
        <v>958</v>
      </c>
      <c r="E224" t="s">
        <v>959</v>
      </c>
      <c r="F224" t="s">
        <v>196</v>
      </c>
      <c r="G224" t="s">
        <v>204</v>
      </c>
      <c r="H224" t="s">
        <v>57</v>
      </c>
      <c r="I224" t="s">
        <v>61</v>
      </c>
      <c r="J224" s="1">
        <v>2810</v>
      </c>
      <c r="K224" t="s">
        <v>960</v>
      </c>
      <c r="L224" t="s">
        <v>961</v>
      </c>
      <c r="M224" t="s">
        <v>475</v>
      </c>
      <c r="N224">
        <v>7</v>
      </c>
      <c r="O224">
        <v>127509</v>
      </c>
    </row>
    <row r="225" spans="1:15" x14ac:dyDescent="0.35">
      <c r="A225" t="s">
        <v>15</v>
      </c>
      <c r="B225" t="s">
        <v>99</v>
      </c>
      <c r="C225" t="s">
        <v>82</v>
      </c>
      <c r="D225" t="s">
        <v>962</v>
      </c>
      <c r="E225" t="s">
        <v>963</v>
      </c>
      <c r="F225" t="s">
        <v>30</v>
      </c>
      <c r="G225" t="s">
        <v>964</v>
      </c>
      <c r="H225" t="s">
        <v>41</v>
      </c>
      <c r="I225" t="s">
        <v>61</v>
      </c>
      <c r="J225" t="s">
        <v>58</v>
      </c>
      <c r="K225" t="s">
        <v>965</v>
      </c>
      <c r="L225" t="s">
        <v>966</v>
      </c>
      <c r="M225" t="s">
        <v>110</v>
      </c>
      <c r="N225">
        <v>15</v>
      </c>
      <c r="O225">
        <v>25212</v>
      </c>
    </row>
    <row r="226" spans="1:15" x14ac:dyDescent="0.35">
      <c r="A226" t="s">
        <v>15</v>
      </c>
      <c r="B226" t="s">
        <v>16</v>
      </c>
      <c r="C226" t="s">
        <v>61</v>
      </c>
      <c r="D226" t="s">
        <v>967</v>
      </c>
      <c r="E226" t="s">
        <v>968</v>
      </c>
      <c r="F226" t="s">
        <v>39</v>
      </c>
      <c r="G226" t="s">
        <v>969</v>
      </c>
      <c r="H226" t="s">
        <v>41</v>
      </c>
      <c r="I226" t="s">
        <v>23</v>
      </c>
      <c r="J226" s="1">
        <v>2520</v>
      </c>
      <c r="K226" t="s">
        <v>23</v>
      </c>
      <c r="L226" t="s">
        <v>970</v>
      </c>
      <c r="M226" t="s">
        <v>51</v>
      </c>
      <c r="O226">
        <v>105439</v>
      </c>
    </row>
    <row r="227" spans="1:15" x14ac:dyDescent="0.35">
      <c r="A227" t="s">
        <v>15</v>
      </c>
      <c r="B227" t="s">
        <v>16</v>
      </c>
      <c r="C227" t="s">
        <v>17</v>
      </c>
      <c r="D227" t="s">
        <v>971</v>
      </c>
      <c r="E227" t="s">
        <v>258</v>
      </c>
      <c r="F227" t="s">
        <v>39</v>
      </c>
      <c r="G227" t="s">
        <v>65</v>
      </c>
      <c r="H227" t="s">
        <v>41</v>
      </c>
      <c r="I227" t="s">
        <v>58</v>
      </c>
      <c r="J227">
        <v>500</v>
      </c>
      <c r="K227" t="s">
        <v>58</v>
      </c>
      <c r="L227" t="s">
        <v>972</v>
      </c>
      <c r="M227" t="s">
        <v>60</v>
      </c>
      <c r="O227">
        <v>127874.5</v>
      </c>
    </row>
    <row r="228" spans="1:15" x14ac:dyDescent="0.35">
      <c r="A228" t="s">
        <v>15</v>
      </c>
      <c r="B228" t="s">
        <v>16</v>
      </c>
      <c r="C228" t="s">
        <v>82</v>
      </c>
      <c r="D228" t="s">
        <v>973</v>
      </c>
      <c r="E228" t="s">
        <v>974</v>
      </c>
      <c r="F228" t="s">
        <v>203</v>
      </c>
      <c r="G228" t="s">
        <v>537</v>
      </c>
      <c r="H228" t="s">
        <v>41</v>
      </c>
      <c r="I228" t="s">
        <v>58</v>
      </c>
      <c r="J228" s="1">
        <v>5560</v>
      </c>
      <c r="K228" t="s">
        <v>58</v>
      </c>
      <c r="L228" t="s">
        <v>975</v>
      </c>
      <c r="M228" t="s">
        <v>976</v>
      </c>
      <c r="N228">
        <v>25</v>
      </c>
      <c r="O228">
        <v>55995</v>
      </c>
    </row>
    <row r="229" spans="1:15" x14ac:dyDescent="0.35">
      <c r="A229" t="s">
        <v>15</v>
      </c>
      <c r="B229" t="s">
        <v>27</v>
      </c>
      <c r="C229" t="s">
        <v>17</v>
      </c>
      <c r="D229" t="s">
        <v>977</v>
      </c>
      <c r="E229" t="s">
        <v>978</v>
      </c>
      <c r="F229" t="s">
        <v>244</v>
      </c>
      <c r="G229" t="s">
        <v>514</v>
      </c>
      <c r="H229" t="s">
        <v>41</v>
      </c>
      <c r="I229" t="s">
        <v>58</v>
      </c>
      <c r="J229">
        <v>126</v>
      </c>
      <c r="K229" t="s">
        <v>58</v>
      </c>
      <c r="L229" t="s">
        <v>979</v>
      </c>
      <c r="M229" t="s">
        <v>60</v>
      </c>
      <c r="N229">
        <v>2</v>
      </c>
      <c r="O229">
        <v>223773.5</v>
      </c>
    </row>
    <row r="230" spans="1:15" x14ac:dyDescent="0.35">
      <c r="A230" t="s">
        <v>15</v>
      </c>
      <c r="B230" t="s">
        <v>16</v>
      </c>
      <c r="C230" t="s">
        <v>17</v>
      </c>
      <c r="D230" t="s">
        <v>980</v>
      </c>
      <c r="E230" t="s">
        <v>202</v>
      </c>
      <c r="F230" t="s">
        <v>312</v>
      </c>
      <c r="G230" t="s">
        <v>90</v>
      </c>
      <c r="H230" t="s">
        <v>41</v>
      </c>
      <c r="I230" t="s">
        <v>58</v>
      </c>
      <c r="J230">
        <v>45</v>
      </c>
      <c r="K230" t="s">
        <v>58</v>
      </c>
      <c r="L230" t="s">
        <v>981</v>
      </c>
      <c r="M230" t="s">
        <v>659</v>
      </c>
      <c r="N230">
        <v>4</v>
      </c>
      <c r="O230">
        <v>230622.5</v>
      </c>
    </row>
    <row r="231" spans="1:15" x14ac:dyDescent="0.35">
      <c r="A231" t="s">
        <v>15</v>
      </c>
      <c r="B231" t="s">
        <v>52</v>
      </c>
      <c r="C231" t="s">
        <v>17</v>
      </c>
      <c r="D231" t="s">
        <v>982</v>
      </c>
      <c r="E231" t="s">
        <v>507</v>
      </c>
      <c r="F231" t="s">
        <v>39</v>
      </c>
      <c r="G231" t="s">
        <v>150</v>
      </c>
      <c r="H231" t="s">
        <v>41</v>
      </c>
      <c r="I231" t="s">
        <v>58</v>
      </c>
      <c r="J231">
        <v>56</v>
      </c>
      <c r="K231" t="s">
        <v>58</v>
      </c>
      <c r="L231" t="s">
        <v>983</v>
      </c>
      <c r="M231" t="s">
        <v>60</v>
      </c>
      <c r="O231">
        <v>45675.5</v>
      </c>
    </row>
    <row r="232" spans="1:15" x14ac:dyDescent="0.35">
      <c r="A232" t="s">
        <v>15</v>
      </c>
      <c r="B232" t="s">
        <v>16</v>
      </c>
      <c r="C232" t="s">
        <v>36</v>
      </c>
      <c r="D232" t="s">
        <v>984</v>
      </c>
      <c r="E232" t="s">
        <v>161</v>
      </c>
      <c r="F232" t="s">
        <v>399</v>
      </c>
      <c r="G232" t="s">
        <v>150</v>
      </c>
      <c r="H232" t="s">
        <v>57</v>
      </c>
      <c r="I232" t="s">
        <v>58</v>
      </c>
      <c r="J232" s="1">
        <v>45050</v>
      </c>
      <c r="K232" t="s">
        <v>58</v>
      </c>
      <c r="L232" t="s">
        <v>985</v>
      </c>
      <c r="M232" t="s">
        <v>200</v>
      </c>
      <c r="N232">
        <v>5</v>
      </c>
      <c r="O232">
        <v>134807.5</v>
      </c>
    </row>
    <row r="233" spans="1:15" x14ac:dyDescent="0.35">
      <c r="A233" t="s">
        <v>15</v>
      </c>
      <c r="B233" t="s">
        <v>16</v>
      </c>
      <c r="C233" t="s">
        <v>61</v>
      </c>
      <c r="D233" t="s">
        <v>227</v>
      </c>
      <c r="E233" t="s">
        <v>228</v>
      </c>
      <c r="F233" t="s">
        <v>399</v>
      </c>
      <c r="G233" t="s">
        <v>229</v>
      </c>
      <c r="H233" t="s">
        <v>41</v>
      </c>
      <c r="I233" t="s">
        <v>58</v>
      </c>
      <c r="J233">
        <v>210</v>
      </c>
      <c r="K233" t="s">
        <v>58</v>
      </c>
      <c r="L233" t="s">
        <v>986</v>
      </c>
      <c r="M233" t="s">
        <v>919</v>
      </c>
      <c r="N233">
        <v>5</v>
      </c>
      <c r="O233">
        <v>87407</v>
      </c>
    </row>
    <row r="234" spans="1:15" x14ac:dyDescent="0.35">
      <c r="A234" t="s">
        <v>15</v>
      </c>
      <c r="B234" t="s">
        <v>52</v>
      </c>
      <c r="C234" t="s">
        <v>36</v>
      </c>
      <c r="D234" t="s">
        <v>987</v>
      </c>
      <c r="E234" t="s">
        <v>988</v>
      </c>
      <c r="F234" t="s">
        <v>244</v>
      </c>
      <c r="G234" t="s">
        <v>90</v>
      </c>
      <c r="H234" t="s">
        <v>41</v>
      </c>
      <c r="I234" t="s">
        <v>58</v>
      </c>
      <c r="J234">
        <v>150</v>
      </c>
      <c r="K234" t="s">
        <v>58</v>
      </c>
      <c r="L234" t="s">
        <v>989</v>
      </c>
      <c r="M234" t="s">
        <v>60</v>
      </c>
      <c r="N234">
        <v>2</v>
      </c>
      <c r="O234">
        <v>154356</v>
      </c>
    </row>
    <row r="235" spans="1:15" x14ac:dyDescent="0.35">
      <c r="A235" t="s">
        <v>15</v>
      </c>
      <c r="B235" t="s">
        <v>16</v>
      </c>
      <c r="C235" t="s">
        <v>61</v>
      </c>
      <c r="D235" t="s">
        <v>990</v>
      </c>
      <c r="E235" t="s">
        <v>991</v>
      </c>
      <c r="F235" t="s">
        <v>39</v>
      </c>
      <c r="G235" t="s">
        <v>594</v>
      </c>
      <c r="H235" t="s">
        <v>41</v>
      </c>
      <c r="I235" t="s">
        <v>23</v>
      </c>
      <c r="J235" s="1">
        <v>1800</v>
      </c>
      <c r="K235" t="s">
        <v>23</v>
      </c>
      <c r="L235" t="s">
        <v>992</v>
      </c>
      <c r="M235" t="s">
        <v>993</v>
      </c>
      <c r="O235">
        <v>109604</v>
      </c>
    </row>
    <row r="236" spans="1:15" x14ac:dyDescent="0.35">
      <c r="A236" t="s">
        <v>15</v>
      </c>
      <c r="B236" t="s">
        <v>27</v>
      </c>
      <c r="C236" t="s">
        <v>61</v>
      </c>
      <c r="D236" t="s">
        <v>994</v>
      </c>
      <c r="E236" t="s">
        <v>995</v>
      </c>
      <c r="F236" t="s">
        <v>85</v>
      </c>
      <c r="G236" t="s">
        <v>65</v>
      </c>
      <c r="H236" t="s">
        <v>41</v>
      </c>
      <c r="I236" t="s">
        <v>58</v>
      </c>
      <c r="J236" s="1">
        <v>1020</v>
      </c>
      <c r="K236" t="s">
        <v>58</v>
      </c>
      <c r="L236" t="s">
        <v>996</v>
      </c>
      <c r="M236" t="s">
        <v>475</v>
      </c>
      <c r="N236">
        <v>6</v>
      </c>
      <c r="O236">
        <v>152988</v>
      </c>
    </row>
    <row r="237" spans="1:15" x14ac:dyDescent="0.35">
      <c r="A237" t="s">
        <v>15</v>
      </c>
      <c r="B237" t="s">
        <v>16</v>
      </c>
      <c r="C237" t="s">
        <v>36</v>
      </c>
      <c r="D237" t="s">
        <v>997</v>
      </c>
      <c r="E237" t="s">
        <v>998</v>
      </c>
      <c r="F237" t="s">
        <v>64</v>
      </c>
      <c r="G237" t="s">
        <v>999</v>
      </c>
      <c r="H237" t="s">
        <v>41</v>
      </c>
      <c r="I237" t="s">
        <v>58</v>
      </c>
      <c r="J237">
        <v>45</v>
      </c>
      <c r="K237" t="s">
        <v>58</v>
      </c>
      <c r="L237" t="s">
        <v>1000</v>
      </c>
      <c r="M237" t="s">
        <v>60</v>
      </c>
      <c r="N237">
        <v>3</v>
      </c>
      <c r="O237">
        <v>142940.5</v>
      </c>
    </row>
    <row r="238" spans="1:15" x14ac:dyDescent="0.35">
      <c r="A238" t="s">
        <v>15</v>
      </c>
      <c r="B238" t="s">
        <v>99</v>
      </c>
      <c r="C238" t="s">
        <v>82</v>
      </c>
      <c r="D238" t="s">
        <v>962</v>
      </c>
      <c r="E238" t="s">
        <v>1001</v>
      </c>
      <c r="F238" t="s">
        <v>125</v>
      </c>
      <c r="G238" t="s">
        <v>964</v>
      </c>
      <c r="H238" t="s">
        <v>41</v>
      </c>
      <c r="I238" t="s">
        <v>61</v>
      </c>
      <c r="J238" t="s">
        <v>58</v>
      </c>
      <c r="K238" t="s">
        <v>965</v>
      </c>
      <c r="L238" t="s">
        <v>1002</v>
      </c>
      <c r="M238" t="s">
        <v>110</v>
      </c>
      <c r="N238">
        <v>14</v>
      </c>
      <c r="O238">
        <v>25214</v>
      </c>
    </row>
    <row r="239" spans="1:15" x14ac:dyDescent="0.35">
      <c r="A239" t="s">
        <v>15</v>
      </c>
      <c r="B239" t="s">
        <v>99</v>
      </c>
      <c r="C239" t="s">
        <v>36</v>
      </c>
      <c r="D239" t="s">
        <v>1003</v>
      </c>
      <c r="E239" t="s">
        <v>1004</v>
      </c>
      <c r="F239" t="s">
        <v>113</v>
      </c>
      <c r="G239" t="s">
        <v>1005</v>
      </c>
      <c r="H239" t="s">
        <v>115</v>
      </c>
      <c r="I239" t="s">
        <v>61</v>
      </c>
      <c r="J239" s="1">
        <v>55010</v>
      </c>
      <c r="K239" t="s">
        <v>960</v>
      </c>
      <c r="L239" t="s">
        <v>1006</v>
      </c>
      <c r="M239" t="s">
        <v>60</v>
      </c>
      <c r="N239">
        <v>19</v>
      </c>
      <c r="O239">
        <v>144386.5</v>
      </c>
    </row>
    <row r="240" spans="1:15" x14ac:dyDescent="0.35">
      <c r="A240" t="s">
        <v>15</v>
      </c>
      <c r="B240" t="s">
        <v>16</v>
      </c>
      <c r="C240" t="s">
        <v>61</v>
      </c>
      <c r="D240" t="s">
        <v>1007</v>
      </c>
      <c r="E240" t="s">
        <v>1008</v>
      </c>
      <c r="F240" t="s">
        <v>399</v>
      </c>
      <c r="G240" t="s">
        <v>946</v>
      </c>
      <c r="H240" t="s">
        <v>41</v>
      </c>
      <c r="I240" t="s">
        <v>58</v>
      </c>
      <c r="J240">
        <v>420</v>
      </c>
      <c r="K240" t="s">
        <v>58</v>
      </c>
      <c r="L240" t="s">
        <v>1009</v>
      </c>
      <c r="M240" t="s">
        <v>1010</v>
      </c>
      <c r="N240">
        <v>5</v>
      </c>
      <c r="O240">
        <v>76724</v>
      </c>
    </row>
    <row r="241" spans="1:15" x14ac:dyDescent="0.35">
      <c r="A241" t="s">
        <v>15</v>
      </c>
      <c r="B241" t="s">
        <v>99</v>
      </c>
      <c r="C241" t="s">
        <v>36</v>
      </c>
      <c r="D241" t="s">
        <v>1011</v>
      </c>
      <c r="E241" t="s">
        <v>855</v>
      </c>
      <c r="F241" t="s">
        <v>39</v>
      </c>
      <c r="G241" t="s">
        <v>1012</v>
      </c>
      <c r="H241" t="s">
        <v>22</v>
      </c>
      <c r="I241" t="s">
        <v>23</v>
      </c>
      <c r="J241" s="1">
        <v>7100</v>
      </c>
      <c r="K241" t="s">
        <v>23</v>
      </c>
      <c r="L241" t="s">
        <v>1013</v>
      </c>
      <c r="M241" t="s">
        <v>267</v>
      </c>
      <c r="O241">
        <v>159608.5</v>
      </c>
    </row>
    <row r="242" spans="1:15" x14ac:dyDescent="0.35">
      <c r="A242" t="s">
        <v>15</v>
      </c>
      <c r="B242" t="s">
        <v>16</v>
      </c>
      <c r="C242" t="s">
        <v>36</v>
      </c>
      <c r="D242" t="s">
        <v>535</v>
      </c>
      <c r="E242" t="s">
        <v>1014</v>
      </c>
      <c r="F242" t="s">
        <v>64</v>
      </c>
      <c r="G242" t="s">
        <v>537</v>
      </c>
      <c r="H242" t="s">
        <v>115</v>
      </c>
      <c r="I242" t="s">
        <v>23</v>
      </c>
      <c r="J242" s="1">
        <v>82030</v>
      </c>
      <c r="K242" t="s">
        <v>23</v>
      </c>
      <c r="L242" t="s">
        <v>1015</v>
      </c>
      <c r="M242" t="s">
        <v>1016</v>
      </c>
      <c r="N242">
        <v>3</v>
      </c>
      <c r="O242">
        <v>27524</v>
      </c>
    </row>
    <row r="243" spans="1:15" x14ac:dyDescent="0.35">
      <c r="A243" t="s">
        <v>15</v>
      </c>
      <c r="B243" t="s">
        <v>16</v>
      </c>
      <c r="C243" t="s">
        <v>36</v>
      </c>
      <c r="D243" t="s">
        <v>987</v>
      </c>
      <c r="E243" t="s">
        <v>988</v>
      </c>
      <c r="F243" t="s">
        <v>856</v>
      </c>
      <c r="G243" t="s">
        <v>90</v>
      </c>
      <c r="H243" t="s">
        <v>41</v>
      </c>
      <c r="I243" t="s">
        <v>58</v>
      </c>
      <c r="J243">
        <v>150</v>
      </c>
      <c r="K243" t="s">
        <v>58</v>
      </c>
      <c r="L243" t="s">
        <v>1017</v>
      </c>
      <c r="M243" t="s">
        <v>60</v>
      </c>
      <c r="N243">
        <v>23</v>
      </c>
      <c r="O243">
        <v>151203</v>
      </c>
    </row>
    <row r="244" spans="1:15" x14ac:dyDescent="0.35">
      <c r="A244" t="s">
        <v>15</v>
      </c>
      <c r="B244" t="s">
        <v>27</v>
      </c>
      <c r="C244" t="s">
        <v>17</v>
      </c>
      <c r="D244" t="s">
        <v>1018</v>
      </c>
      <c r="E244" t="s">
        <v>335</v>
      </c>
      <c r="F244" t="s">
        <v>39</v>
      </c>
      <c r="G244" t="s">
        <v>150</v>
      </c>
      <c r="H244" t="s">
        <v>57</v>
      </c>
      <c r="I244" t="s">
        <v>58</v>
      </c>
      <c r="J244" s="1">
        <v>7030</v>
      </c>
      <c r="K244" t="s">
        <v>58</v>
      </c>
      <c r="L244" t="s">
        <v>1019</v>
      </c>
      <c r="M244" t="s">
        <v>1020</v>
      </c>
      <c r="O244">
        <v>14064</v>
      </c>
    </row>
    <row r="245" spans="1:15" x14ac:dyDescent="0.35">
      <c r="A245" t="s">
        <v>75</v>
      </c>
      <c r="B245" t="s">
        <v>16</v>
      </c>
      <c r="C245" t="s">
        <v>36</v>
      </c>
      <c r="D245" t="s">
        <v>1021</v>
      </c>
      <c r="E245" t="s">
        <v>1022</v>
      </c>
      <c r="F245" t="s">
        <v>125</v>
      </c>
      <c r="G245" t="s">
        <v>90</v>
      </c>
      <c r="H245" t="s">
        <v>41</v>
      </c>
      <c r="I245" t="s">
        <v>58</v>
      </c>
      <c r="J245" s="1">
        <v>3570</v>
      </c>
      <c r="K245" t="s">
        <v>58</v>
      </c>
      <c r="L245" t="s">
        <v>1023</v>
      </c>
      <c r="M245" t="s">
        <v>1024</v>
      </c>
      <c r="N245">
        <v>14</v>
      </c>
      <c r="O245">
        <v>160108</v>
      </c>
    </row>
    <row r="246" spans="1:15" x14ac:dyDescent="0.35">
      <c r="A246" t="s">
        <v>75</v>
      </c>
      <c r="B246" t="s">
        <v>99</v>
      </c>
      <c r="C246" t="s">
        <v>36</v>
      </c>
      <c r="D246" t="s">
        <v>1025</v>
      </c>
      <c r="E246" t="s">
        <v>1026</v>
      </c>
      <c r="F246" t="s">
        <v>277</v>
      </c>
      <c r="G246" t="s">
        <v>1027</v>
      </c>
      <c r="H246" t="s">
        <v>41</v>
      </c>
      <c r="I246" t="s">
        <v>23</v>
      </c>
      <c r="J246" s="1">
        <v>309170</v>
      </c>
      <c r="K246" t="s">
        <v>23</v>
      </c>
      <c r="L246" t="s">
        <v>1028</v>
      </c>
      <c r="M246" t="s">
        <v>874</v>
      </c>
      <c r="N246">
        <v>12</v>
      </c>
      <c r="O246">
        <v>155267.5</v>
      </c>
    </row>
    <row r="247" spans="1:15" x14ac:dyDescent="0.35">
      <c r="A247" t="s">
        <v>15</v>
      </c>
      <c r="B247" t="s">
        <v>16</v>
      </c>
      <c r="C247" t="s">
        <v>61</v>
      </c>
      <c r="D247" t="s">
        <v>1029</v>
      </c>
      <c r="E247" t="s">
        <v>1030</v>
      </c>
      <c r="F247" t="s">
        <v>125</v>
      </c>
      <c r="G247" t="s">
        <v>1031</v>
      </c>
      <c r="H247" t="s">
        <v>156</v>
      </c>
      <c r="I247" t="s">
        <v>61</v>
      </c>
      <c r="J247" s="1">
        <v>12802</v>
      </c>
      <c r="K247" t="s">
        <v>73</v>
      </c>
      <c r="L247" t="s">
        <v>1032</v>
      </c>
      <c r="M247" t="s">
        <v>1033</v>
      </c>
      <c r="N247">
        <v>14</v>
      </c>
      <c r="O247">
        <v>153673</v>
      </c>
    </row>
    <row r="248" spans="1:15" x14ac:dyDescent="0.35">
      <c r="A248" t="s">
        <v>15</v>
      </c>
      <c r="B248" t="s">
        <v>16</v>
      </c>
      <c r="C248" t="s">
        <v>36</v>
      </c>
      <c r="D248" t="s">
        <v>1034</v>
      </c>
      <c r="E248" t="s">
        <v>1035</v>
      </c>
      <c r="F248" t="s">
        <v>85</v>
      </c>
      <c r="G248" t="s">
        <v>1036</v>
      </c>
      <c r="H248" t="s">
        <v>41</v>
      </c>
      <c r="I248" t="s">
        <v>58</v>
      </c>
      <c r="J248" s="1">
        <v>5540</v>
      </c>
      <c r="K248" t="s">
        <v>58</v>
      </c>
      <c r="L248" t="s">
        <v>1037</v>
      </c>
      <c r="M248" t="s">
        <v>1038</v>
      </c>
      <c r="N248">
        <v>6</v>
      </c>
      <c r="O248">
        <v>131412.5</v>
      </c>
    </row>
    <row r="249" spans="1:15" x14ac:dyDescent="0.35">
      <c r="A249" t="s">
        <v>15</v>
      </c>
      <c r="B249" t="s">
        <v>16</v>
      </c>
      <c r="C249" t="s">
        <v>82</v>
      </c>
      <c r="D249" t="s">
        <v>1039</v>
      </c>
      <c r="E249" t="s">
        <v>1040</v>
      </c>
      <c r="F249" t="s">
        <v>113</v>
      </c>
      <c r="G249" t="s">
        <v>797</v>
      </c>
      <c r="H249" t="s">
        <v>115</v>
      </c>
      <c r="I249" t="s">
        <v>23</v>
      </c>
      <c r="J249">
        <v>660</v>
      </c>
      <c r="K249" t="s">
        <v>23</v>
      </c>
      <c r="L249" t="s">
        <v>1041</v>
      </c>
      <c r="M249" t="s">
        <v>1042</v>
      </c>
      <c r="N249">
        <v>19</v>
      </c>
      <c r="O249">
        <v>188154</v>
      </c>
    </row>
    <row r="250" spans="1:15" x14ac:dyDescent="0.35">
      <c r="A250" t="s">
        <v>15</v>
      </c>
      <c r="B250" t="s">
        <v>52</v>
      </c>
      <c r="C250" t="s">
        <v>36</v>
      </c>
      <c r="D250" t="s">
        <v>1043</v>
      </c>
      <c r="E250" t="s">
        <v>1044</v>
      </c>
      <c r="F250" t="s">
        <v>292</v>
      </c>
      <c r="G250" t="s">
        <v>412</v>
      </c>
      <c r="H250" t="s">
        <v>41</v>
      </c>
      <c r="I250" t="s">
        <v>58</v>
      </c>
      <c r="J250">
        <v>310</v>
      </c>
      <c r="K250" t="s">
        <v>58</v>
      </c>
      <c r="L250" t="s">
        <v>1045</v>
      </c>
      <c r="M250" t="s">
        <v>60</v>
      </c>
      <c r="N250">
        <v>5</v>
      </c>
      <c r="O250">
        <v>187241</v>
      </c>
    </row>
    <row r="251" spans="1:15" x14ac:dyDescent="0.35">
      <c r="A251" t="s">
        <v>75</v>
      </c>
      <c r="B251" t="s">
        <v>16</v>
      </c>
      <c r="C251" t="s">
        <v>61</v>
      </c>
      <c r="D251" t="s">
        <v>1046</v>
      </c>
      <c r="E251" t="s">
        <v>1047</v>
      </c>
      <c r="F251" t="s">
        <v>884</v>
      </c>
      <c r="G251" t="s">
        <v>234</v>
      </c>
      <c r="H251" t="s">
        <v>41</v>
      </c>
      <c r="I251" t="s">
        <v>61</v>
      </c>
      <c r="J251" t="s">
        <v>58</v>
      </c>
      <c r="K251" t="s">
        <v>965</v>
      </c>
      <c r="L251" t="s">
        <v>1048</v>
      </c>
      <c r="M251" t="s">
        <v>1049</v>
      </c>
      <c r="O251">
        <v>200940.5</v>
      </c>
    </row>
    <row r="252" spans="1:15" x14ac:dyDescent="0.35">
      <c r="A252" t="s">
        <v>15</v>
      </c>
      <c r="B252" t="s">
        <v>99</v>
      </c>
      <c r="C252" t="s">
        <v>17</v>
      </c>
      <c r="D252" t="s">
        <v>1050</v>
      </c>
      <c r="E252" t="s">
        <v>1051</v>
      </c>
      <c r="F252" t="s">
        <v>39</v>
      </c>
      <c r="G252" t="s">
        <v>1052</v>
      </c>
      <c r="H252" t="s">
        <v>115</v>
      </c>
      <c r="I252" t="s">
        <v>61</v>
      </c>
      <c r="J252" s="1">
        <v>4104</v>
      </c>
      <c r="K252" t="s">
        <v>73</v>
      </c>
      <c r="L252" t="s">
        <v>1053</v>
      </c>
      <c r="M252" t="s">
        <v>1054</v>
      </c>
      <c r="O252">
        <v>97734</v>
      </c>
    </row>
    <row r="253" spans="1:15" x14ac:dyDescent="0.35">
      <c r="A253" t="s">
        <v>15</v>
      </c>
      <c r="B253" t="s">
        <v>16</v>
      </c>
      <c r="C253" t="s">
        <v>36</v>
      </c>
      <c r="D253" t="s">
        <v>1055</v>
      </c>
      <c r="E253" t="s">
        <v>1056</v>
      </c>
      <c r="F253" t="s">
        <v>513</v>
      </c>
      <c r="G253" t="s">
        <v>86</v>
      </c>
      <c r="H253" t="s">
        <v>57</v>
      </c>
      <c r="I253" t="s">
        <v>58</v>
      </c>
      <c r="J253" s="1">
        <v>45070</v>
      </c>
      <c r="K253" t="s">
        <v>58</v>
      </c>
      <c r="L253" t="s">
        <v>1057</v>
      </c>
      <c r="M253" t="s">
        <v>172</v>
      </c>
      <c r="N253">
        <v>22</v>
      </c>
      <c r="O253">
        <v>109600</v>
      </c>
    </row>
    <row r="254" spans="1:15" x14ac:dyDescent="0.35">
      <c r="A254" t="s">
        <v>15</v>
      </c>
      <c r="B254" t="s">
        <v>16</v>
      </c>
      <c r="C254" t="s">
        <v>17</v>
      </c>
      <c r="D254" t="s">
        <v>807</v>
      </c>
      <c r="E254" t="s">
        <v>776</v>
      </c>
      <c r="F254" t="s">
        <v>244</v>
      </c>
      <c r="G254" t="s">
        <v>65</v>
      </c>
      <c r="H254" t="s">
        <v>41</v>
      </c>
      <c r="I254" t="s">
        <v>58</v>
      </c>
      <c r="J254">
        <v>750</v>
      </c>
      <c r="K254" t="s">
        <v>58</v>
      </c>
      <c r="L254" t="s">
        <v>1058</v>
      </c>
      <c r="M254" t="s">
        <v>118</v>
      </c>
      <c r="N254">
        <v>2</v>
      </c>
      <c r="O254">
        <v>153605.5</v>
      </c>
    </row>
    <row r="255" spans="1:15" x14ac:dyDescent="0.35">
      <c r="A255" t="s">
        <v>15</v>
      </c>
      <c r="B255" t="s">
        <v>69</v>
      </c>
      <c r="C255" t="s">
        <v>36</v>
      </c>
      <c r="D255" t="s">
        <v>1059</v>
      </c>
      <c r="E255" t="s">
        <v>248</v>
      </c>
      <c r="F255" t="s">
        <v>196</v>
      </c>
      <c r="G255" t="s">
        <v>249</v>
      </c>
      <c r="H255" t="s">
        <v>41</v>
      </c>
      <c r="I255" t="s">
        <v>58</v>
      </c>
      <c r="J255" s="1">
        <v>1050</v>
      </c>
      <c r="K255" t="s">
        <v>58</v>
      </c>
      <c r="L255" t="s">
        <v>1060</v>
      </c>
      <c r="M255" t="s">
        <v>1061</v>
      </c>
      <c r="N255">
        <v>7</v>
      </c>
      <c r="O255">
        <v>95450.5</v>
      </c>
    </row>
    <row r="256" spans="1:15" x14ac:dyDescent="0.35">
      <c r="A256" t="s">
        <v>15</v>
      </c>
      <c r="B256" t="s">
        <v>16</v>
      </c>
      <c r="C256" t="s">
        <v>82</v>
      </c>
      <c r="D256" t="s">
        <v>1062</v>
      </c>
      <c r="E256" t="s">
        <v>243</v>
      </c>
      <c r="F256" t="s">
        <v>125</v>
      </c>
      <c r="G256" t="s">
        <v>764</v>
      </c>
      <c r="H256" t="s">
        <v>41</v>
      </c>
      <c r="I256" t="s">
        <v>58</v>
      </c>
      <c r="J256">
        <v>550</v>
      </c>
      <c r="K256" t="s">
        <v>58</v>
      </c>
      <c r="L256" t="s">
        <v>1063</v>
      </c>
      <c r="M256" t="s">
        <v>1064</v>
      </c>
      <c r="N256">
        <v>14</v>
      </c>
      <c r="O256">
        <v>146135.5</v>
      </c>
    </row>
    <row r="257" spans="1:15" x14ac:dyDescent="0.35">
      <c r="A257" t="s">
        <v>15</v>
      </c>
      <c r="B257" t="s">
        <v>16</v>
      </c>
      <c r="C257" t="s">
        <v>61</v>
      </c>
      <c r="D257" t="s">
        <v>1065</v>
      </c>
      <c r="E257" t="s">
        <v>128</v>
      </c>
      <c r="F257" t="s">
        <v>39</v>
      </c>
      <c r="G257" t="s">
        <v>48</v>
      </c>
      <c r="H257" t="s">
        <v>41</v>
      </c>
      <c r="I257" t="s">
        <v>58</v>
      </c>
      <c r="J257" s="1">
        <v>1800</v>
      </c>
      <c r="K257" t="s">
        <v>58</v>
      </c>
      <c r="L257" t="s">
        <v>1066</v>
      </c>
      <c r="M257" t="s">
        <v>1067</v>
      </c>
      <c r="O257">
        <v>19988</v>
      </c>
    </row>
    <row r="258" spans="1:15" x14ac:dyDescent="0.35">
      <c r="A258" t="s">
        <v>15</v>
      </c>
      <c r="B258" t="s">
        <v>16</v>
      </c>
      <c r="C258" t="s">
        <v>17</v>
      </c>
      <c r="D258" t="s">
        <v>1068</v>
      </c>
      <c r="E258" t="s">
        <v>296</v>
      </c>
      <c r="F258" t="s">
        <v>196</v>
      </c>
      <c r="G258" t="s">
        <v>594</v>
      </c>
      <c r="H258" t="s">
        <v>57</v>
      </c>
      <c r="I258" t="s">
        <v>23</v>
      </c>
      <c r="J258" s="1">
        <v>29480</v>
      </c>
      <c r="K258" t="s">
        <v>23</v>
      </c>
      <c r="L258" t="s">
        <v>1069</v>
      </c>
      <c r="M258" t="s">
        <v>200</v>
      </c>
      <c r="N258">
        <v>7</v>
      </c>
      <c r="O258">
        <v>73457</v>
      </c>
    </row>
    <row r="259" spans="1:15" x14ac:dyDescent="0.35">
      <c r="A259" t="s">
        <v>15</v>
      </c>
      <c r="B259" t="s">
        <v>16</v>
      </c>
      <c r="C259" t="s">
        <v>61</v>
      </c>
      <c r="D259" t="s">
        <v>1070</v>
      </c>
      <c r="E259" t="s">
        <v>1071</v>
      </c>
      <c r="F259" t="s">
        <v>203</v>
      </c>
      <c r="G259" t="s">
        <v>86</v>
      </c>
      <c r="H259" t="s">
        <v>115</v>
      </c>
      <c r="I259" t="s">
        <v>61</v>
      </c>
      <c r="J259" s="1">
        <v>4310</v>
      </c>
      <c r="K259" t="s">
        <v>960</v>
      </c>
      <c r="L259" t="s">
        <v>1072</v>
      </c>
      <c r="M259" t="s">
        <v>206</v>
      </c>
      <c r="N259">
        <v>25</v>
      </c>
      <c r="O259">
        <v>155827</v>
      </c>
    </row>
    <row r="260" spans="1:15" x14ac:dyDescent="0.35">
      <c r="A260" t="s">
        <v>15</v>
      </c>
      <c r="B260" t="s">
        <v>69</v>
      </c>
      <c r="C260" t="s">
        <v>17</v>
      </c>
      <c r="D260" t="s">
        <v>1073</v>
      </c>
      <c r="E260" t="s">
        <v>1074</v>
      </c>
      <c r="F260" t="s">
        <v>55</v>
      </c>
      <c r="G260" t="s">
        <v>1075</v>
      </c>
      <c r="H260" t="s">
        <v>41</v>
      </c>
      <c r="I260" t="s">
        <v>23</v>
      </c>
      <c r="J260" s="1">
        <v>83550</v>
      </c>
      <c r="K260" t="s">
        <v>23</v>
      </c>
      <c r="L260" t="s">
        <v>1076</v>
      </c>
      <c r="M260" t="s">
        <v>118</v>
      </c>
      <c r="N260">
        <v>3</v>
      </c>
      <c r="O260">
        <v>110517.5</v>
      </c>
    </row>
    <row r="261" spans="1:15" x14ac:dyDescent="0.35">
      <c r="A261" t="s">
        <v>15</v>
      </c>
      <c r="B261" t="s">
        <v>99</v>
      </c>
      <c r="C261" t="s">
        <v>61</v>
      </c>
      <c r="D261" t="s">
        <v>645</v>
      </c>
      <c r="E261" t="s">
        <v>646</v>
      </c>
      <c r="F261" t="s">
        <v>341</v>
      </c>
      <c r="G261" t="s">
        <v>647</v>
      </c>
      <c r="H261" t="s">
        <v>57</v>
      </c>
      <c r="I261" t="s">
        <v>23</v>
      </c>
      <c r="J261" s="1">
        <v>30830</v>
      </c>
      <c r="K261" t="s">
        <v>23</v>
      </c>
      <c r="L261" t="s">
        <v>648</v>
      </c>
      <c r="M261" t="s">
        <v>1077</v>
      </c>
      <c r="N261">
        <v>2</v>
      </c>
      <c r="O261">
        <v>67044</v>
      </c>
    </row>
    <row r="262" spans="1:15" x14ac:dyDescent="0.35">
      <c r="A262" t="s">
        <v>15</v>
      </c>
      <c r="B262" t="s">
        <v>27</v>
      </c>
      <c r="C262" t="s">
        <v>17</v>
      </c>
      <c r="D262" t="s">
        <v>1078</v>
      </c>
      <c r="E262" t="s">
        <v>1079</v>
      </c>
      <c r="F262" t="s">
        <v>312</v>
      </c>
      <c r="G262" t="s">
        <v>65</v>
      </c>
      <c r="H262" t="s">
        <v>57</v>
      </c>
      <c r="I262" t="s">
        <v>23</v>
      </c>
      <c r="J262" s="1">
        <v>51750</v>
      </c>
      <c r="K262" t="s">
        <v>23</v>
      </c>
      <c r="L262" t="s">
        <v>1080</v>
      </c>
      <c r="M262" t="s">
        <v>1081</v>
      </c>
      <c r="N262">
        <v>4</v>
      </c>
      <c r="O262">
        <v>109606</v>
      </c>
    </row>
    <row r="263" spans="1:15" x14ac:dyDescent="0.35">
      <c r="A263" t="s">
        <v>15</v>
      </c>
      <c r="B263" t="s">
        <v>16</v>
      </c>
      <c r="C263" t="s">
        <v>17</v>
      </c>
      <c r="D263" t="s">
        <v>1082</v>
      </c>
      <c r="E263" t="s">
        <v>1083</v>
      </c>
      <c r="F263" t="s">
        <v>292</v>
      </c>
      <c r="G263" t="s">
        <v>588</v>
      </c>
      <c r="H263" t="s">
        <v>41</v>
      </c>
      <c r="I263" t="s">
        <v>58</v>
      </c>
      <c r="J263">
        <v>75</v>
      </c>
      <c r="K263" t="s">
        <v>58</v>
      </c>
      <c r="L263" t="s">
        <v>1084</v>
      </c>
      <c r="M263" t="s">
        <v>1085</v>
      </c>
      <c r="N263">
        <v>5</v>
      </c>
      <c r="O263">
        <v>7081.5</v>
      </c>
    </row>
    <row r="264" spans="1:15" x14ac:dyDescent="0.35">
      <c r="A264" t="s">
        <v>15</v>
      </c>
      <c r="B264" t="s">
        <v>99</v>
      </c>
      <c r="C264" t="s">
        <v>36</v>
      </c>
      <c r="D264" t="s">
        <v>1086</v>
      </c>
      <c r="E264" t="s">
        <v>1087</v>
      </c>
      <c r="F264" t="s">
        <v>125</v>
      </c>
      <c r="G264" t="s">
        <v>1088</v>
      </c>
      <c r="H264" t="s">
        <v>41</v>
      </c>
      <c r="I264" t="s">
        <v>58</v>
      </c>
      <c r="J264" s="1">
        <v>7070</v>
      </c>
      <c r="K264" t="s">
        <v>58</v>
      </c>
      <c r="L264" t="s">
        <v>1089</v>
      </c>
      <c r="M264" t="s">
        <v>60</v>
      </c>
      <c r="N264">
        <v>14</v>
      </c>
      <c r="O264">
        <v>34295.5</v>
      </c>
    </row>
    <row r="265" spans="1:15" x14ac:dyDescent="0.35">
      <c r="A265" t="s">
        <v>15</v>
      </c>
      <c r="B265" t="s">
        <v>16</v>
      </c>
      <c r="C265" t="s">
        <v>61</v>
      </c>
      <c r="D265" t="s">
        <v>1090</v>
      </c>
      <c r="E265" t="s">
        <v>1091</v>
      </c>
      <c r="F265" t="s">
        <v>341</v>
      </c>
      <c r="G265" t="s">
        <v>1092</v>
      </c>
      <c r="H265" t="s">
        <v>41</v>
      </c>
      <c r="I265" t="s">
        <v>58</v>
      </c>
      <c r="J265">
        <v>90</v>
      </c>
      <c r="K265" t="s">
        <v>58</v>
      </c>
      <c r="L265" t="s">
        <v>1093</v>
      </c>
      <c r="M265" t="s">
        <v>35</v>
      </c>
      <c r="N265">
        <v>2</v>
      </c>
      <c r="O265">
        <v>164400.5</v>
      </c>
    </row>
    <row r="266" spans="1:15" x14ac:dyDescent="0.35">
      <c r="A266" t="s">
        <v>15</v>
      </c>
      <c r="B266" t="s">
        <v>52</v>
      </c>
      <c r="C266" t="s">
        <v>82</v>
      </c>
      <c r="D266" t="s">
        <v>1094</v>
      </c>
      <c r="E266" t="s">
        <v>84</v>
      </c>
      <c r="F266" t="s">
        <v>341</v>
      </c>
      <c r="G266" t="s">
        <v>249</v>
      </c>
      <c r="H266" t="s">
        <v>41</v>
      </c>
      <c r="I266" t="s">
        <v>58</v>
      </c>
      <c r="J266">
        <v>126</v>
      </c>
      <c r="K266" t="s">
        <v>58</v>
      </c>
      <c r="L266" t="s">
        <v>1095</v>
      </c>
      <c r="M266" t="s">
        <v>60</v>
      </c>
      <c r="N266">
        <v>2</v>
      </c>
      <c r="O266">
        <v>134723.5</v>
      </c>
    </row>
    <row r="267" spans="1:15" x14ac:dyDescent="0.35">
      <c r="A267" t="s">
        <v>15</v>
      </c>
      <c r="B267" t="s">
        <v>27</v>
      </c>
      <c r="C267" t="s">
        <v>82</v>
      </c>
      <c r="D267" t="s">
        <v>1096</v>
      </c>
      <c r="E267" t="s">
        <v>84</v>
      </c>
      <c r="F267" t="s">
        <v>196</v>
      </c>
      <c r="G267" t="s">
        <v>1097</v>
      </c>
      <c r="H267" t="s">
        <v>41</v>
      </c>
      <c r="I267" t="s">
        <v>58</v>
      </c>
      <c r="J267">
        <v>750</v>
      </c>
      <c r="K267" t="s">
        <v>58</v>
      </c>
      <c r="L267" t="s">
        <v>1098</v>
      </c>
      <c r="M267" t="s">
        <v>60</v>
      </c>
      <c r="N267">
        <v>7</v>
      </c>
      <c r="O267">
        <v>255738</v>
      </c>
    </row>
    <row r="268" spans="1:15" x14ac:dyDescent="0.35">
      <c r="A268" t="s">
        <v>15</v>
      </c>
      <c r="B268" t="s">
        <v>16</v>
      </c>
      <c r="C268" t="s">
        <v>61</v>
      </c>
      <c r="D268" t="s">
        <v>1099</v>
      </c>
      <c r="E268" t="s">
        <v>1100</v>
      </c>
      <c r="F268" t="s">
        <v>139</v>
      </c>
      <c r="G268" t="s">
        <v>90</v>
      </c>
      <c r="H268" t="s">
        <v>41</v>
      </c>
      <c r="I268" t="s">
        <v>58</v>
      </c>
      <c r="J268">
        <v>524</v>
      </c>
      <c r="K268" t="s">
        <v>58</v>
      </c>
      <c r="L268" t="s">
        <v>1101</v>
      </c>
      <c r="M268" t="s">
        <v>1102</v>
      </c>
      <c r="N268">
        <v>13</v>
      </c>
      <c r="O268">
        <v>134724.5</v>
      </c>
    </row>
    <row r="269" spans="1:15" x14ac:dyDescent="0.35">
      <c r="A269" t="s">
        <v>15</v>
      </c>
      <c r="B269" t="s">
        <v>16</v>
      </c>
      <c r="C269" t="s">
        <v>82</v>
      </c>
      <c r="D269" t="s">
        <v>1103</v>
      </c>
      <c r="E269" t="s">
        <v>768</v>
      </c>
      <c r="F269" t="s">
        <v>64</v>
      </c>
      <c r="G269" t="s">
        <v>229</v>
      </c>
      <c r="H269" t="s">
        <v>115</v>
      </c>
      <c r="I269" t="s">
        <v>23</v>
      </c>
      <c r="J269" s="1">
        <v>6470</v>
      </c>
      <c r="K269" t="s">
        <v>23</v>
      </c>
      <c r="L269" t="s">
        <v>1104</v>
      </c>
      <c r="M269" t="s">
        <v>1105</v>
      </c>
      <c r="N269">
        <v>3</v>
      </c>
      <c r="O269">
        <v>109925.5</v>
      </c>
    </row>
    <row r="270" spans="1:15" x14ac:dyDescent="0.35">
      <c r="A270" t="s">
        <v>15</v>
      </c>
      <c r="B270" t="s">
        <v>16</v>
      </c>
      <c r="C270" t="s">
        <v>36</v>
      </c>
      <c r="D270" t="s">
        <v>1106</v>
      </c>
      <c r="E270" t="s">
        <v>398</v>
      </c>
      <c r="F270" t="s">
        <v>312</v>
      </c>
      <c r="G270" t="s">
        <v>801</v>
      </c>
      <c r="H270" t="s">
        <v>41</v>
      </c>
      <c r="I270" t="s">
        <v>58</v>
      </c>
      <c r="J270" s="1">
        <v>8520</v>
      </c>
      <c r="K270" t="s">
        <v>58</v>
      </c>
      <c r="L270" t="s">
        <v>1107</v>
      </c>
      <c r="M270" t="s">
        <v>1108</v>
      </c>
      <c r="N270">
        <v>4</v>
      </c>
      <c r="O270">
        <v>102482</v>
      </c>
    </row>
    <row r="271" spans="1:15" x14ac:dyDescent="0.35">
      <c r="A271" t="s">
        <v>15</v>
      </c>
      <c r="B271" t="s">
        <v>16</v>
      </c>
      <c r="C271" t="s">
        <v>61</v>
      </c>
      <c r="D271" t="s">
        <v>1109</v>
      </c>
      <c r="E271" t="s">
        <v>1110</v>
      </c>
      <c r="F271" t="s">
        <v>196</v>
      </c>
      <c r="G271" t="s">
        <v>1111</v>
      </c>
      <c r="H271" t="s">
        <v>115</v>
      </c>
      <c r="I271" t="s">
        <v>23</v>
      </c>
      <c r="J271" s="1">
        <v>55215</v>
      </c>
      <c r="K271" t="s">
        <v>23</v>
      </c>
      <c r="L271" t="s">
        <v>1112</v>
      </c>
      <c r="M271" t="s">
        <v>1113</v>
      </c>
      <c r="N271">
        <v>7</v>
      </c>
      <c r="O271">
        <v>131088</v>
      </c>
    </row>
    <row r="272" spans="1:15" x14ac:dyDescent="0.35">
      <c r="A272" t="s">
        <v>75</v>
      </c>
      <c r="B272" t="s">
        <v>52</v>
      </c>
      <c r="C272" t="s">
        <v>17</v>
      </c>
      <c r="D272" t="s">
        <v>1114</v>
      </c>
      <c r="E272" t="s">
        <v>258</v>
      </c>
      <c r="F272" t="s">
        <v>856</v>
      </c>
      <c r="G272" t="s">
        <v>65</v>
      </c>
      <c r="H272" t="s">
        <v>41</v>
      </c>
      <c r="I272" t="s">
        <v>58</v>
      </c>
      <c r="J272">
        <v>180</v>
      </c>
      <c r="K272" t="s">
        <v>58</v>
      </c>
      <c r="L272" t="s">
        <v>1115</v>
      </c>
      <c r="M272" t="s">
        <v>60</v>
      </c>
      <c r="N272">
        <v>23</v>
      </c>
      <c r="O272">
        <v>200935.5</v>
      </c>
    </row>
    <row r="273" spans="1:15" x14ac:dyDescent="0.35">
      <c r="A273" t="s">
        <v>15</v>
      </c>
      <c r="B273" t="s">
        <v>16</v>
      </c>
      <c r="C273" t="s">
        <v>82</v>
      </c>
      <c r="D273" t="s">
        <v>1116</v>
      </c>
      <c r="E273" t="s">
        <v>84</v>
      </c>
      <c r="F273" t="s">
        <v>47</v>
      </c>
      <c r="G273" t="s">
        <v>249</v>
      </c>
      <c r="H273" t="s">
        <v>41</v>
      </c>
      <c r="I273" t="s">
        <v>58</v>
      </c>
      <c r="J273">
        <v>45</v>
      </c>
      <c r="K273" t="s">
        <v>58</v>
      </c>
      <c r="L273" t="s">
        <v>1117</v>
      </c>
      <c r="M273" t="s">
        <v>60</v>
      </c>
      <c r="N273">
        <v>8</v>
      </c>
      <c r="O273">
        <v>118741</v>
      </c>
    </row>
    <row r="274" spans="1:15" x14ac:dyDescent="0.35">
      <c r="A274" t="s">
        <v>15</v>
      </c>
      <c r="B274" t="s">
        <v>27</v>
      </c>
      <c r="C274" t="s">
        <v>17</v>
      </c>
      <c r="D274" t="s">
        <v>1118</v>
      </c>
      <c r="E274" t="s">
        <v>1119</v>
      </c>
      <c r="F274" t="s">
        <v>237</v>
      </c>
      <c r="G274" t="s">
        <v>1120</v>
      </c>
      <c r="H274" t="s">
        <v>57</v>
      </c>
      <c r="I274" t="s">
        <v>58</v>
      </c>
      <c r="J274" s="1">
        <v>55070</v>
      </c>
      <c r="K274" t="s">
        <v>58</v>
      </c>
      <c r="L274" t="s">
        <v>1121</v>
      </c>
      <c r="M274" t="s">
        <v>1122</v>
      </c>
      <c r="N274">
        <v>20</v>
      </c>
      <c r="O274">
        <v>118736.5</v>
      </c>
    </row>
    <row r="275" spans="1:15" x14ac:dyDescent="0.35">
      <c r="A275" t="s">
        <v>15</v>
      </c>
      <c r="B275" t="s">
        <v>16</v>
      </c>
      <c r="C275" t="s">
        <v>36</v>
      </c>
      <c r="D275" t="s">
        <v>1123</v>
      </c>
      <c r="E275" t="s">
        <v>1124</v>
      </c>
      <c r="F275" t="s">
        <v>30</v>
      </c>
      <c r="G275" t="s">
        <v>1125</v>
      </c>
      <c r="H275" t="s">
        <v>115</v>
      </c>
      <c r="I275" t="s">
        <v>23</v>
      </c>
      <c r="J275" s="1">
        <v>35050</v>
      </c>
      <c r="K275" t="s">
        <v>23</v>
      </c>
      <c r="L275" t="s">
        <v>1126</v>
      </c>
      <c r="M275" t="s">
        <v>1127</v>
      </c>
      <c r="N275">
        <v>15</v>
      </c>
      <c r="O275">
        <v>170659</v>
      </c>
    </row>
    <row r="276" spans="1:15" x14ac:dyDescent="0.35">
      <c r="A276" t="s">
        <v>75</v>
      </c>
      <c r="B276" t="s">
        <v>16</v>
      </c>
      <c r="C276" t="s">
        <v>17</v>
      </c>
      <c r="D276" t="s">
        <v>1128</v>
      </c>
      <c r="E276" t="s">
        <v>1129</v>
      </c>
      <c r="F276" t="s">
        <v>196</v>
      </c>
      <c r="G276" t="s">
        <v>40</v>
      </c>
      <c r="H276" t="s">
        <v>22</v>
      </c>
      <c r="I276" t="s">
        <v>23</v>
      </c>
      <c r="J276" s="1">
        <v>2010</v>
      </c>
      <c r="K276" t="s">
        <v>23</v>
      </c>
      <c r="L276" t="s">
        <v>1130</v>
      </c>
      <c r="M276" t="s">
        <v>1131</v>
      </c>
      <c r="N276">
        <v>7</v>
      </c>
      <c r="O276">
        <v>208740.5</v>
      </c>
    </row>
    <row r="277" spans="1:15" x14ac:dyDescent="0.35">
      <c r="A277" t="s">
        <v>15</v>
      </c>
      <c r="B277" t="s">
        <v>16</v>
      </c>
      <c r="C277" t="s">
        <v>17</v>
      </c>
      <c r="D277" t="s">
        <v>1132</v>
      </c>
      <c r="E277" t="s">
        <v>1133</v>
      </c>
      <c r="F277" t="s">
        <v>64</v>
      </c>
      <c r="G277" t="s">
        <v>1134</v>
      </c>
      <c r="H277" t="s">
        <v>41</v>
      </c>
      <c r="I277" t="s">
        <v>58</v>
      </c>
      <c r="J277">
        <v>600</v>
      </c>
      <c r="K277" t="s">
        <v>58</v>
      </c>
      <c r="L277" t="s">
        <v>1135</v>
      </c>
      <c r="M277" t="s">
        <v>1136</v>
      </c>
      <c r="N277">
        <v>3</v>
      </c>
      <c r="O277">
        <v>239749</v>
      </c>
    </row>
    <row r="278" spans="1:15" x14ac:dyDescent="0.35">
      <c r="A278" t="s">
        <v>15</v>
      </c>
      <c r="B278" t="s">
        <v>16</v>
      </c>
      <c r="C278" t="s">
        <v>36</v>
      </c>
      <c r="D278" t="s">
        <v>1137</v>
      </c>
      <c r="E278" t="s">
        <v>128</v>
      </c>
      <c r="F278" t="s">
        <v>244</v>
      </c>
      <c r="G278" t="s">
        <v>102</v>
      </c>
      <c r="H278" t="s">
        <v>41</v>
      </c>
      <c r="I278" t="s">
        <v>58</v>
      </c>
      <c r="J278" s="1">
        <v>1310</v>
      </c>
      <c r="K278" t="s">
        <v>58</v>
      </c>
      <c r="L278" t="s">
        <v>1138</v>
      </c>
      <c r="M278" t="s">
        <v>1139</v>
      </c>
      <c r="N278">
        <v>2</v>
      </c>
      <c r="O278">
        <v>15667</v>
      </c>
    </row>
    <row r="279" spans="1:15" x14ac:dyDescent="0.35">
      <c r="A279" t="s">
        <v>15</v>
      </c>
      <c r="B279" t="s">
        <v>52</v>
      </c>
      <c r="C279" t="s">
        <v>82</v>
      </c>
      <c r="D279" t="s">
        <v>83</v>
      </c>
      <c r="E279" t="s">
        <v>84</v>
      </c>
      <c r="F279" t="s">
        <v>39</v>
      </c>
      <c r="G279" t="s">
        <v>86</v>
      </c>
      <c r="H279" t="s">
        <v>41</v>
      </c>
      <c r="I279" t="s">
        <v>58</v>
      </c>
      <c r="J279">
        <v>126</v>
      </c>
      <c r="K279" t="s">
        <v>58</v>
      </c>
      <c r="L279" t="s">
        <v>1140</v>
      </c>
      <c r="M279" t="s">
        <v>60</v>
      </c>
      <c r="O279">
        <v>155272</v>
      </c>
    </row>
    <row r="280" spans="1:15" x14ac:dyDescent="0.35">
      <c r="A280" t="s">
        <v>15</v>
      </c>
      <c r="B280" t="s">
        <v>27</v>
      </c>
      <c r="C280" t="s">
        <v>36</v>
      </c>
      <c r="D280" t="s">
        <v>1141</v>
      </c>
      <c r="E280" t="s">
        <v>1142</v>
      </c>
      <c r="F280" t="s">
        <v>196</v>
      </c>
      <c r="G280" t="s">
        <v>86</v>
      </c>
      <c r="H280" t="s">
        <v>57</v>
      </c>
      <c r="I280" t="s">
        <v>23</v>
      </c>
      <c r="J280" s="1">
        <v>3040</v>
      </c>
      <c r="K280" t="s">
        <v>23</v>
      </c>
      <c r="L280" t="s">
        <v>1143</v>
      </c>
      <c r="M280" t="s">
        <v>118</v>
      </c>
      <c r="N280">
        <v>7</v>
      </c>
      <c r="O280">
        <v>141571</v>
      </c>
    </row>
    <row r="281" spans="1:15" x14ac:dyDescent="0.35">
      <c r="A281" t="s">
        <v>15</v>
      </c>
      <c r="B281" t="s">
        <v>16</v>
      </c>
      <c r="C281" t="s">
        <v>17</v>
      </c>
      <c r="D281" t="s">
        <v>1144</v>
      </c>
      <c r="E281" t="s">
        <v>928</v>
      </c>
      <c r="F281" t="s">
        <v>1145</v>
      </c>
      <c r="G281" t="s">
        <v>86</v>
      </c>
      <c r="H281" t="s">
        <v>57</v>
      </c>
      <c r="I281" t="s">
        <v>58</v>
      </c>
      <c r="J281" s="1">
        <v>60640</v>
      </c>
      <c r="K281" t="s">
        <v>58</v>
      </c>
      <c r="L281" t="s">
        <v>1146</v>
      </c>
      <c r="M281" t="s">
        <v>1147</v>
      </c>
      <c r="N281">
        <v>16</v>
      </c>
      <c r="O281">
        <v>134721.5</v>
      </c>
    </row>
    <row r="282" spans="1:15" x14ac:dyDescent="0.35">
      <c r="A282" t="s">
        <v>15</v>
      </c>
      <c r="B282" t="s">
        <v>27</v>
      </c>
      <c r="C282" t="s">
        <v>82</v>
      </c>
      <c r="D282" t="s">
        <v>406</v>
      </c>
      <c r="E282" t="s">
        <v>1148</v>
      </c>
      <c r="F282" t="s">
        <v>1149</v>
      </c>
      <c r="G282" t="s">
        <v>229</v>
      </c>
      <c r="H282" t="s">
        <v>41</v>
      </c>
      <c r="I282" t="s">
        <v>23</v>
      </c>
      <c r="J282" s="1">
        <v>2570</v>
      </c>
      <c r="K282" t="s">
        <v>23</v>
      </c>
      <c r="L282" t="s">
        <v>1150</v>
      </c>
      <c r="M282" t="s">
        <v>409</v>
      </c>
      <c r="N282">
        <v>18</v>
      </c>
      <c r="O282">
        <v>164401.5</v>
      </c>
    </row>
    <row r="283" spans="1:15" x14ac:dyDescent="0.35">
      <c r="A283" t="s">
        <v>15</v>
      </c>
      <c r="B283" t="s">
        <v>16</v>
      </c>
      <c r="C283" t="s">
        <v>82</v>
      </c>
      <c r="D283" t="s">
        <v>1151</v>
      </c>
      <c r="E283" t="s">
        <v>84</v>
      </c>
      <c r="F283" t="s">
        <v>39</v>
      </c>
      <c r="G283" t="s">
        <v>514</v>
      </c>
      <c r="H283" t="s">
        <v>41</v>
      </c>
      <c r="I283" t="s">
        <v>58</v>
      </c>
      <c r="J283">
        <v>300</v>
      </c>
      <c r="K283" t="s">
        <v>58</v>
      </c>
      <c r="L283" t="s">
        <v>1152</v>
      </c>
      <c r="M283" t="s">
        <v>60</v>
      </c>
      <c r="O283">
        <v>180391</v>
      </c>
    </row>
    <row r="284" spans="1:15" x14ac:dyDescent="0.35">
      <c r="A284" t="s">
        <v>15</v>
      </c>
      <c r="B284" t="s">
        <v>16</v>
      </c>
      <c r="C284" t="s">
        <v>36</v>
      </c>
      <c r="D284" t="s">
        <v>1153</v>
      </c>
      <c r="E284" t="s">
        <v>1154</v>
      </c>
      <c r="F284" t="s">
        <v>39</v>
      </c>
      <c r="G284" t="s">
        <v>1155</v>
      </c>
      <c r="H284" t="s">
        <v>57</v>
      </c>
      <c r="I284" t="s">
        <v>23</v>
      </c>
      <c r="J284" s="1">
        <v>18030</v>
      </c>
      <c r="K284" t="s">
        <v>23</v>
      </c>
      <c r="L284" t="s">
        <v>1156</v>
      </c>
      <c r="M284" t="s">
        <v>51</v>
      </c>
      <c r="O284">
        <v>121021.5</v>
      </c>
    </row>
    <row r="285" spans="1:15" x14ac:dyDescent="0.35">
      <c r="A285" t="s">
        <v>15</v>
      </c>
      <c r="B285" t="s">
        <v>16</v>
      </c>
      <c r="C285" t="s">
        <v>82</v>
      </c>
      <c r="D285" t="s">
        <v>1157</v>
      </c>
      <c r="E285" t="s">
        <v>84</v>
      </c>
      <c r="F285" t="s">
        <v>55</v>
      </c>
      <c r="G285" t="s">
        <v>90</v>
      </c>
      <c r="H285" t="s">
        <v>41</v>
      </c>
      <c r="I285" t="s">
        <v>58</v>
      </c>
      <c r="J285">
        <v>45</v>
      </c>
      <c r="K285" t="s">
        <v>58</v>
      </c>
      <c r="L285" t="s">
        <v>1158</v>
      </c>
      <c r="M285" t="s">
        <v>60</v>
      </c>
      <c r="N285">
        <v>3</v>
      </c>
      <c r="O285">
        <v>166685.5</v>
      </c>
    </row>
    <row r="286" spans="1:15" x14ac:dyDescent="0.35">
      <c r="A286" t="s">
        <v>15</v>
      </c>
      <c r="B286" t="s">
        <v>99</v>
      </c>
      <c r="C286" t="s">
        <v>36</v>
      </c>
      <c r="D286" t="s">
        <v>1159</v>
      </c>
      <c r="E286" t="s">
        <v>618</v>
      </c>
      <c r="F286" t="s">
        <v>399</v>
      </c>
      <c r="G286" t="s">
        <v>1160</v>
      </c>
      <c r="H286" t="s">
        <v>41</v>
      </c>
      <c r="I286" t="s">
        <v>58</v>
      </c>
      <c r="J286" s="1">
        <v>43933</v>
      </c>
      <c r="K286" t="s">
        <v>58</v>
      </c>
      <c r="L286" t="s">
        <v>1161</v>
      </c>
      <c r="M286" t="s">
        <v>60</v>
      </c>
      <c r="N286">
        <v>5</v>
      </c>
      <c r="O286">
        <v>74894.5</v>
      </c>
    </row>
    <row r="287" spans="1:15" x14ac:dyDescent="0.35">
      <c r="A287" t="s">
        <v>15</v>
      </c>
      <c r="B287" t="s">
        <v>16</v>
      </c>
      <c r="C287" t="s">
        <v>36</v>
      </c>
      <c r="D287" t="s">
        <v>1162</v>
      </c>
      <c r="E287" t="s">
        <v>796</v>
      </c>
      <c r="F287" t="s">
        <v>312</v>
      </c>
      <c r="G287" t="s">
        <v>797</v>
      </c>
      <c r="H287" t="s">
        <v>41</v>
      </c>
      <c r="I287" t="s">
        <v>58</v>
      </c>
      <c r="J287">
        <v>126</v>
      </c>
      <c r="K287" t="s">
        <v>58</v>
      </c>
      <c r="L287" t="s">
        <v>1163</v>
      </c>
      <c r="M287" t="s">
        <v>1164</v>
      </c>
      <c r="N287">
        <v>4</v>
      </c>
      <c r="O287">
        <v>166206</v>
      </c>
    </row>
    <row r="288" spans="1:15" x14ac:dyDescent="0.35">
      <c r="A288" t="s">
        <v>15</v>
      </c>
      <c r="B288" t="s">
        <v>99</v>
      </c>
      <c r="C288" t="s">
        <v>36</v>
      </c>
      <c r="D288" t="s">
        <v>1165</v>
      </c>
      <c r="E288" t="s">
        <v>1166</v>
      </c>
      <c r="F288" t="s">
        <v>1167</v>
      </c>
      <c r="G288" t="s">
        <v>1168</v>
      </c>
      <c r="H288" t="s">
        <v>73</v>
      </c>
      <c r="I288" t="s">
        <v>61</v>
      </c>
      <c r="J288" s="1">
        <v>39879</v>
      </c>
      <c r="K288" t="s">
        <v>73</v>
      </c>
      <c r="L288" t="s">
        <v>1169</v>
      </c>
      <c r="M288" t="s">
        <v>118</v>
      </c>
      <c r="N288">
        <v>10</v>
      </c>
      <c r="O288">
        <v>100472</v>
      </c>
    </row>
    <row r="289" spans="1:15" x14ac:dyDescent="0.35">
      <c r="A289" t="s">
        <v>15</v>
      </c>
      <c r="B289" t="s">
        <v>27</v>
      </c>
      <c r="C289" t="s">
        <v>36</v>
      </c>
      <c r="D289" t="s">
        <v>945</v>
      </c>
      <c r="E289" t="s">
        <v>1170</v>
      </c>
      <c r="F289" t="s">
        <v>39</v>
      </c>
      <c r="G289" t="s">
        <v>946</v>
      </c>
      <c r="H289" t="s">
        <v>57</v>
      </c>
      <c r="I289" t="s">
        <v>58</v>
      </c>
      <c r="J289" s="1">
        <v>1320</v>
      </c>
      <c r="K289" t="s">
        <v>58</v>
      </c>
      <c r="L289" t="s">
        <v>1171</v>
      </c>
      <c r="M289" t="s">
        <v>1172</v>
      </c>
      <c r="O289">
        <v>140478.5</v>
      </c>
    </row>
    <row r="290" spans="1:15" x14ac:dyDescent="0.35">
      <c r="A290" t="s">
        <v>15</v>
      </c>
      <c r="B290" t="s">
        <v>16</v>
      </c>
      <c r="C290" t="s">
        <v>17</v>
      </c>
      <c r="D290" t="s">
        <v>1082</v>
      </c>
      <c r="E290" t="s">
        <v>1173</v>
      </c>
      <c r="F290" t="s">
        <v>244</v>
      </c>
      <c r="G290" t="s">
        <v>588</v>
      </c>
      <c r="H290" t="s">
        <v>41</v>
      </c>
      <c r="I290" t="s">
        <v>58</v>
      </c>
      <c r="J290">
        <v>75</v>
      </c>
      <c r="K290" t="s">
        <v>58</v>
      </c>
      <c r="L290" t="s">
        <v>1174</v>
      </c>
      <c r="M290" t="s">
        <v>1085</v>
      </c>
      <c r="N290">
        <v>2</v>
      </c>
      <c r="O290">
        <v>7080.5</v>
      </c>
    </row>
    <row r="291" spans="1:15" x14ac:dyDescent="0.35">
      <c r="A291" t="s">
        <v>15</v>
      </c>
      <c r="B291" t="s">
        <v>16</v>
      </c>
      <c r="C291" t="s">
        <v>82</v>
      </c>
      <c r="D291" t="s">
        <v>1175</v>
      </c>
      <c r="E291" t="s">
        <v>243</v>
      </c>
      <c r="F291" t="s">
        <v>125</v>
      </c>
      <c r="G291" t="s">
        <v>1176</v>
      </c>
      <c r="H291" t="s">
        <v>115</v>
      </c>
      <c r="I291" t="s">
        <v>58</v>
      </c>
      <c r="J291">
        <v>490</v>
      </c>
      <c r="K291" t="s">
        <v>58</v>
      </c>
      <c r="L291" t="s">
        <v>1177</v>
      </c>
      <c r="M291" t="s">
        <v>1178</v>
      </c>
      <c r="N291">
        <v>14</v>
      </c>
      <c r="O291">
        <v>100469</v>
      </c>
    </row>
    <row r="292" spans="1:15" x14ac:dyDescent="0.35">
      <c r="A292" t="s">
        <v>75</v>
      </c>
      <c r="B292" t="s">
        <v>16</v>
      </c>
      <c r="C292" t="s">
        <v>82</v>
      </c>
      <c r="D292" t="s">
        <v>1179</v>
      </c>
      <c r="E292" t="s">
        <v>84</v>
      </c>
      <c r="F292" t="s">
        <v>39</v>
      </c>
      <c r="G292" t="s">
        <v>229</v>
      </c>
      <c r="H292" t="s">
        <v>41</v>
      </c>
      <c r="I292" t="s">
        <v>23</v>
      </c>
      <c r="J292">
        <v>990</v>
      </c>
      <c r="K292" t="s">
        <v>23</v>
      </c>
      <c r="L292" t="s">
        <v>1180</v>
      </c>
      <c r="M292" t="s">
        <v>60</v>
      </c>
      <c r="O292">
        <v>216925</v>
      </c>
    </row>
    <row r="293" spans="1:15" x14ac:dyDescent="0.35">
      <c r="A293" t="s">
        <v>15</v>
      </c>
      <c r="B293" t="s">
        <v>16</v>
      </c>
      <c r="C293" t="s">
        <v>17</v>
      </c>
      <c r="D293" t="s">
        <v>1181</v>
      </c>
      <c r="E293" t="s">
        <v>1182</v>
      </c>
      <c r="F293" t="s">
        <v>39</v>
      </c>
      <c r="G293" t="s">
        <v>1183</v>
      </c>
      <c r="H293" t="s">
        <v>115</v>
      </c>
      <c r="I293" t="s">
        <v>58</v>
      </c>
      <c r="J293">
        <v>45</v>
      </c>
      <c r="K293" t="s">
        <v>58</v>
      </c>
      <c r="L293" t="s">
        <v>1184</v>
      </c>
      <c r="M293" t="s">
        <v>60</v>
      </c>
      <c r="O293">
        <v>182667</v>
      </c>
    </row>
    <row r="294" spans="1:15" x14ac:dyDescent="0.35">
      <c r="A294" t="s">
        <v>15</v>
      </c>
      <c r="B294" t="s">
        <v>16</v>
      </c>
      <c r="C294" t="s">
        <v>17</v>
      </c>
      <c r="D294" t="s">
        <v>1185</v>
      </c>
      <c r="E294" t="s">
        <v>1186</v>
      </c>
      <c r="F294" t="s">
        <v>244</v>
      </c>
      <c r="G294" t="s">
        <v>229</v>
      </c>
      <c r="H294" t="s">
        <v>115</v>
      </c>
      <c r="I294" t="s">
        <v>58</v>
      </c>
      <c r="J294">
        <v>420</v>
      </c>
      <c r="K294" t="s">
        <v>58</v>
      </c>
      <c r="L294" t="s">
        <v>1187</v>
      </c>
      <c r="M294" t="s">
        <v>1188</v>
      </c>
      <c r="N294">
        <v>2</v>
      </c>
      <c r="O294">
        <v>109601</v>
      </c>
    </row>
    <row r="295" spans="1:15" x14ac:dyDescent="0.35">
      <c r="A295" t="s">
        <v>15</v>
      </c>
      <c r="B295" t="s">
        <v>16</v>
      </c>
      <c r="C295" t="s">
        <v>17</v>
      </c>
      <c r="D295" t="s">
        <v>389</v>
      </c>
      <c r="E295" t="s">
        <v>390</v>
      </c>
      <c r="F295" t="s">
        <v>89</v>
      </c>
      <c r="G295" t="s">
        <v>48</v>
      </c>
      <c r="H295" t="s">
        <v>41</v>
      </c>
      <c r="I295" t="s">
        <v>23</v>
      </c>
      <c r="J295" s="1">
        <v>2760</v>
      </c>
      <c r="K295" t="s">
        <v>23</v>
      </c>
      <c r="L295" t="s">
        <v>1189</v>
      </c>
      <c r="M295" t="s">
        <v>60</v>
      </c>
      <c r="O295">
        <v>200937</v>
      </c>
    </row>
    <row r="296" spans="1:15" x14ac:dyDescent="0.35">
      <c r="A296" t="s">
        <v>15</v>
      </c>
      <c r="B296" t="s">
        <v>16</v>
      </c>
      <c r="C296" t="s">
        <v>36</v>
      </c>
      <c r="D296" t="s">
        <v>1190</v>
      </c>
      <c r="E296" t="s">
        <v>248</v>
      </c>
      <c r="F296" t="s">
        <v>39</v>
      </c>
      <c r="G296" t="s">
        <v>249</v>
      </c>
      <c r="H296" t="s">
        <v>115</v>
      </c>
      <c r="I296" t="s">
        <v>23</v>
      </c>
      <c r="J296" s="1">
        <v>4040</v>
      </c>
      <c r="K296" t="s">
        <v>23</v>
      </c>
      <c r="L296" t="s">
        <v>1191</v>
      </c>
      <c r="M296" t="s">
        <v>1192</v>
      </c>
      <c r="O296">
        <v>172713.5</v>
      </c>
    </row>
    <row r="297" spans="1:15" x14ac:dyDescent="0.35">
      <c r="A297" t="s">
        <v>15</v>
      </c>
      <c r="B297" t="s">
        <v>27</v>
      </c>
      <c r="C297" t="s">
        <v>61</v>
      </c>
      <c r="D297" t="s">
        <v>1193</v>
      </c>
      <c r="E297" t="s">
        <v>1194</v>
      </c>
      <c r="F297" t="s">
        <v>196</v>
      </c>
      <c r="G297" t="s">
        <v>1195</v>
      </c>
      <c r="H297" t="s">
        <v>73</v>
      </c>
      <c r="I297" t="s">
        <v>61</v>
      </c>
      <c r="J297" s="1">
        <v>9030</v>
      </c>
      <c r="K297" t="s">
        <v>73</v>
      </c>
      <c r="L297" t="s">
        <v>1196</v>
      </c>
      <c r="M297" t="s">
        <v>110</v>
      </c>
      <c r="N297">
        <v>7</v>
      </c>
      <c r="O297">
        <v>182667</v>
      </c>
    </row>
    <row r="298" spans="1:15" x14ac:dyDescent="0.35">
      <c r="A298" t="s">
        <v>15</v>
      </c>
      <c r="B298" t="s">
        <v>99</v>
      </c>
      <c r="C298" t="s">
        <v>61</v>
      </c>
      <c r="D298" t="s">
        <v>1197</v>
      </c>
      <c r="E298" t="s">
        <v>318</v>
      </c>
      <c r="F298" t="s">
        <v>196</v>
      </c>
      <c r="G298" t="s">
        <v>594</v>
      </c>
      <c r="H298" t="s">
        <v>57</v>
      </c>
      <c r="I298" t="s">
        <v>23</v>
      </c>
      <c r="J298" s="1">
        <v>205350</v>
      </c>
      <c r="K298" t="s">
        <v>23</v>
      </c>
      <c r="L298" t="s">
        <v>1198</v>
      </c>
      <c r="M298" t="s">
        <v>1199</v>
      </c>
      <c r="N298">
        <v>7</v>
      </c>
      <c r="O298">
        <v>30455</v>
      </c>
    </row>
    <row r="299" spans="1:15" x14ac:dyDescent="0.35">
      <c r="A299" t="s">
        <v>15</v>
      </c>
      <c r="B299" t="s">
        <v>69</v>
      </c>
      <c r="C299" t="s">
        <v>61</v>
      </c>
      <c r="D299" t="s">
        <v>1200</v>
      </c>
      <c r="E299" t="s">
        <v>1201</v>
      </c>
      <c r="F299" t="s">
        <v>64</v>
      </c>
      <c r="G299" t="s">
        <v>647</v>
      </c>
      <c r="H299" t="s">
        <v>73</v>
      </c>
      <c r="I299" t="s">
        <v>61</v>
      </c>
      <c r="J299">
        <v>210</v>
      </c>
      <c r="K299" t="s">
        <v>73</v>
      </c>
      <c r="L299" t="s">
        <v>1202</v>
      </c>
      <c r="M299" t="s">
        <v>1203</v>
      </c>
      <c r="N299">
        <v>3</v>
      </c>
      <c r="O299">
        <v>54802</v>
      </c>
    </row>
    <row r="300" spans="1:15" x14ac:dyDescent="0.35">
      <c r="A300" t="s">
        <v>15</v>
      </c>
      <c r="B300" t="s">
        <v>99</v>
      </c>
      <c r="C300" t="s">
        <v>82</v>
      </c>
      <c r="D300" t="s">
        <v>1204</v>
      </c>
      <c r="E300" t="s">
        <v>1205</v>
      </c>
      <c r="F300" t="s">
        <v>196</v>
      </c>
      <c r="G300" t="s">
        <v>204</v>
      </c>
      <c r="H300" t="s">
        <v>115</v>
      </c>
      <c r="I300" t="s">
        <v>58</v>
      </c>
      <c r="J300" s="1">
        <v>3810</v>
      </c>
      <c r="K300" t="s">
        <v>58</v>
      </c>
      <c r="L300" t="s">
        <v>1206</v>
      </c>
      <c r="M300" t="s">
        <v>1207</v>
      </c>
      <c r="N300">
        <v>7</v>
      </c>
      <c r="O300">
        <v>98934.5</v>
      </c>
    </row>
    <row r="301" spans="1:15" x14ac:dyDescent="0.35">
      <c r="A301" t="s">
        <v>15</v>
      </c>
      <c r="B301" t="s">
        <v>16</v>
      </c>
      <c r="C301" t="s">
        <v>17</v>
      </c>
      <c r="D301" t="s">
        <v>1208</v>
      </c>
      <c r="E301" t="s">
        <v>1209</v>
      </c>
      <c r="F301" t="s">
        <v>1210</v>
      </c>
      <c r="G301" t="s">
        <v>1211</v>
      </c>
      <c r="H301" t="s">
        <v>115</v>
      </c>
      <c r="I301" t="s">
        <v>58</v>
      </c>
      <c r="J301">
        <v>683</v>
      </c>
      <c r="K301" t="s">
        <v>58</v>
      </c>
      <c r="L301" t="s">
        <v>1212</v>
      </c>
      <c r="M301" t="s">
        <v>60</v>
      </c>
      <c r="N301">
        <v>17</v>
      </c>
      <c r="O301">
        <v>127418</v>
      </c>
    </row>
    <row r="302" spans="1:15" x14ac:dyDescent="0.35">
      <c r="A302" t="s">
        <v>15</v>
      </c>
      <c r="B302" t="s">
        <v>16</v>
      </c>
      <c r="C302" t="s">
        <v>17</v>
      </c>
      <c r="D302" t="s">
        <v>1213</v>
      </c>
      <c r="E302" t="s">
        <v>1214</v>
      </c>
      <c r="F302" t="s">
        <v>39</v>
      </c>
      <c r="G302" t="s">
        <v>1215</v>
      </c>
      <c r="H302" t="s">
        <v>41</v>
      </c>
      <c r="I302" t="s">
        <v>58</v>
      </c>
      <c r="J302" s="1">
        <v>8350</v>
      </c>
      <c r="K302" t="s">
        <v>58</v>
      </c>
      <c r="L302" t="s">
        <v>1216</v>
      </c>
      <c r="M302" t="s">
        <v>1217</v>
      </c>
      <c r="O302">
        <v>102845.5</v>
      </c>
    </row>
    <row r="303" spans="1:15" x14ac:dyDescent="0.35">
      <c r="A303" t="s">
        <v>15</v>
      </c>
      <c r="B303" t="s">
        <v>27</v>
      </c>
      <c r="C303" t="s">
        <v>17</v>
      </c>
      <c r="D303" t="s">
        <v>1218</v>
      </c>
      <c r="E303" t="s">
        <v>1219</v>
      </c>
      <c r="F303" t="s">
        <v>196</v>
      </c>
      <c r="G303" t="s">
        <v>758</v>
      </c>
      <c r="H303" t="s">
        <v>41</v>
      </c>
      <c r="I303" t="s">
        <v>23</v>
      </c>
      <c r="J303" s="1">
        <v>4770</v>
      </c>
      <c r="K303" t="s">
        <v>23</v>
      </c>
      <c r="L303" t="s">
        <v>1220</v>
      </c>
      <c r="M303" t="s">
        <v>1221</v>
      </c>
      <c r="N303">
        <v>7</v>
      </c>
      <c r="O303">
        <v>149286</v>
      </c>
    </row>
    <row r="304" spans="1:15" x14ac:dyDescent="0.35">
      <c r="A304" t="s">
        <v>15</v>
      </c>
      <c r="B304" t="s">
        <v>16</v>
      </c>
      <c r="C304" t="s">
        <v>17</v>
      </c>
      <c r="D304" t="s">
        <v>1222</v>
      </c>
      <c r="E304" t="s">
        <v>1223</v>
      </c>
      <c r="F304" t="s">
        <v>399</v>
      </c>
      <c r="G304" t="s">
        <v>229</v>
      </c>
      <c r="H304" t="s">
        <v>41</v>
      </c>
      <c r="I304" t="s">
        <v>58</v>
      </c>
      <c r="J304" s="1">
        <v>51270</v>
      </c>
      <c r="K304" t="s">
        <v>58</v>
      </c>
      <c r="L304" t="s">
        <v>1224</v>
      </c>
      <c r="M304" t="s">
        <v>1225</v>
      </c>
      <c r="N304">
        <v>5</v>
      </c>
      <c r="O304">
        <v>83821</v>
      </c>
    </row>
    <row r="305" spans="1:15" x14ac:dyDescent="0.35">
      <c r="A305" t="s">
        <v>15</v>
      </c>
      <c r="B305" t="s">
        <v>16</v>
      </c>
      <c r="C305" t="s">
        <v>82</v>
      </c>
      <c r="D305" t="s">
        <v>1226</v>
      </c>
      <c r="E305" t="s">
        <v>84</v>
      </c>
      <c r="F305" t="s">
        <v>513</v>
      </c>
      <c r="G305" t="s">
        <v>381</v>
      </c>
      <c r="H305" t="s">
        <v>41</v>
      </c>
      <c r="I305" t="s">
        <v>23</v>
      </c>
      <c r="J305" s="1">
        <v>2540</v>
      </c>
      <c r="K305" t="s">
        <v>23</v>
      </c>
      <c r="L305" t="s">
        <v>1227</v>
      </c>
      <c r="M305" t="s">
        <v>60</v>
      </c>
      <c r="N305">
        <v>22</v>
      </c>
      <c r="O305">
        <v>168972.5</v>
      </c>
    </row>
    <row r="306" spans="1:15" x14ac:dyDescent="0.35">
      <c r="A306" t="s">
        <v>15</v>
      </c>
      <c r="B306" t="s">
        <v>16</v>
      </c>
      <c r="C306" t="s">
        <v>61</v>
      </c>
      <c r="D306" t="s">
        <v>1228</v>
      </c>
      <c r="E306" t="s">
        <v>1229</v>
      </c>
      <c r="F306" t="s">
        <v>125</v>
      </c>
      <c r="G306" t="s">
        <v>758</v>
      </c>
      <c r="H306" t="s">
        <v>41</v>
      </c>
      <c r="I306" t="s">
        <v>58</v>
      </c>
      <c r="J306" s="1">
        <v>10270</v>
      </c>
      <c r="K306" t="s">
        <v>58</v>
      </c>
      <c r="L306" t="s">
        <v>1230</v>
      </c>
      <c r="M306" t="s">
        <v>1231</v>
      </c>
      <c r="N306">
        <v>14</v>
      </c>
      <c r="O306">
        <v>65768</v>
      </c>
    </row>
    <row r="307" spans="1:15" x14ac:dyDescent="0.35">
      <c r="A307" t="s">
        <v>15</v>
      </c>
      <c r="B307" t="s">
        <v>27</v>
      </c>
      <c r="C307" t="s">
        <v>82</v>
      </c>
      <c r="D307" t="s">
        <v>1232</v>
      </c>
      <c r="E307" t="s">
        <v>84</v>
      </c>
      <c r="F307" t="s">
        <v>39</v>
      </c>
      <c r="G307" t="s">
        <v>65</v>
      </c>
      <c r="H307" t="s">
        <v>115</v>
      </c>
      <c r="I307" t="s">
        <v>58</v>
      </c>
      <c r="J307">
        <v>180</v>
      </c>
      <c r="K307" t="s">
        <v>58</v>
      </c>
      <c r="L307" t="s">
        <v>1233</v>
      </c>
      <c r="M307" t="s">
        <v>60</v>
      </c>
      <c r="O307">
        <v>187236</v>
      </c>
    </row>
    <row r="308" spans="1:15" x14ac:dyDescent="0.35">
      <c r="A308" t="s">
        <v>15</v>
      </c>
      <c r="B308" t="s">
        <v>52</v>
      </c>
      <c r="C308" t="s">
        <v>36</v>
      </c>
      <c r="D308" t="s">
        <v>892</v>
      </c>
      <c r="E308" t="s">
        <v>893</v>
      </c>
      <c r="F308" t="s">
        <v>39</v>
      </c>
      <c r="G308" t="s">
        <v>894</v>
      </c>
      <c r="H308" t="s">
        <v>41</v>
      </c>
      <c r="I308" t="s">
        <v>58</v>
      </c>
      <c r="J308" s="1">
        <v>3780</v>
      </c>
      <c r="K308" t="s">
        <v>58</v>
      </c>
      <c r="L308" t="s">
        <v>1234</v>
      </c>
      <c r="M308" t="s">
        <v>60</v>
      </c>
      <c r="O308">
        <v>61374</v>
      </c>
    </row>
    <row r="309" spans="1:15" x14ac:dyDescent="0.35">
      <c r="A309" t="s">
        <v>15</v>
      </c>
      <c r="B309" t="s">
        <v>52</v>
      </c>
      <c r="C309" t="s">
        <v>17</v>
      </c>
      <c r="D309" t="s">
        <v>1235</v>
      </c>
      <c r="E309" t="s">
        <v>507</v>
      </c>
      <c r="F309" t="s">
        <v>39</v>
      </c>
      <c r="G309" t="s">
        <v>1236</v>
      </c>
      <c r="H309" t="s">
        <v>41</v>
      </c>
      <c r="I309" t="s">
        <v>58</v>
      </c>
      <c r="J309">
        <v>180</v>
      </c>
      <c r="K309" t="s">
        <v>58</v>
      </c>
      <c r="L309" t="s">
        <v>1237</v>
      </c>
      <c r="M309" t="s">
        <v>60</v>
      </c>
      <c r="O309">
        <v>49065</v>
      </c>
    </row>
    <row r="310" spans="1:15" x14ac:dyDescent="0.35">
      <c r="A310" t="s">
        <v>15</v>
      </c>
      <c r="B310" t="s">
        <v>16</v>
      </c>
      <c r="C310" t="s">
        <v>82</v>
      </c>
      <c r="D310" t="s">
        <v>1238</v>
      </c>
      <c r="E310" t="s">
        <v>84</v>
      </c>
      <c r="F310" t="s">
        <v>1239</v>
      </c>
      <c r="G310" t="s">
        <v>90</v>
      </c>
      <c r="H310" t="s">
        <v>156</v>
      </c>
      <c r="I310" t="s">
        <v>58</v>
      </c>
      <c r="J310">
        <v>90</v>
      </c>
      <c r="K310" t="s">
        <v>58</v>
      </c>
      <c r="L310" t="s">
        <v>1240</v>
      </c>
      <c r="M310" t="s">
        <v>60</v>
      </c>
      <c r="N310">
        <v>6</v>
      </c>
      <c r="O310">
        <v>155272</v>
      </c>
    </row>
    <row r="311" spans="1:15" x14ac:dyDescent="0.35">
      <c r="A311" t="s">
        <v>15</v>
      </c>
      <c r="B311" t="s">
        <v>99</v>
      </c>
      <c r="C311" t="s">
        <v>36</v>
      </c>
      <c r="D311" t="s">
        <v>1241</v>
      </c>
      <c r="E311" t="s">
        <v>165</v>
      </c>
      <c r="F311" t="s">
        <v>431</v>
      </c>
      <c r="G311" t="s">
        <v>942</v>
      </c>
      <c r="H311" t="s">
        <v>41</v>
      </c>
      <c r="I311" t="s">
        <v>23</v>
      </c>
      <c r="J311" s="1">
        <v>9300</v>
      </c>
      <c r="K311" t="s">
        <v>23</v>
      </c>
      <c r="L311" t="s">
        <v>1242</v>
      </c>
      <c r="M311" t="s">
        <v>944</v>
      </c>
      <c r="N311">
        <v>21</v>
      </c>
      <c r="O311">
        <v>186281</v>
      </c>
    </row>
    <row r="312" spans="1:15" x14ac:dyDescent="0.35">
      <c r="A312" t="s">
        <v>15</v>
      </c>
      <c r="B312" t="s">
        <v>99</v>
      </c>
      <c r="C312" t="s">
        <v>36</v>
      </c>
      <c r="D312" t="s">
        <v>1243</v>
      </c>
      <c r="E312" t="s">
        <v>1244</v>
      </c>
      <c r="F312" t="s">
        <v>39</v>
      </c>
      <c r="G312" t="s">
        <v>1245</v>
      </c>
      <c r="H312" t="s">
        <v>115</v>
      </c>
      <c r="I312" t="s">
        <v>23</v>
      </c>
      <c r="J312" s="1">
        <v>106370</v>
      </c>
      <c r="K312" t="s">
        <v>23</v>
      </c>
      <c r="L312" t="s">
        <v>1246</v>
      </c>
      <c r="M312" t="s">
        <v>256</v>
      </c>
      <c r="O312">
        <v>165775.5</v>
      </c>
    </row>
    <row r="313" spans="1:15" x14ac:dyDescent="0.35">
      <c r="A313" t="s">
        <v>15</v>
      </c>
      <c r="B313" t="s">
        <v>16</v>
      </c>
      <c r="C313" t="s">
        <v>17</v>
      </c>
      <c r="D313" t="s">
        <v>971</v>
      </c>
      <c r="E313" t="s">
        <v>258</v>
      </c>
      <c r="F313" t="s">
        <v>244</v>
      </c>
      <c r="G313" t="s">
        <v>65</v>
      </c>
      <c r="H313" t="s">
        <v>41</v>
      </c>
      <c r="I313" t="s">
        <v>58</v>
      </c>
      <c r="J313">
        <v>500</v>
      </c>
      <c r="K313" t="s">
        <v>58</v>
      </c>
      <c r="L313" t="s">
        <v>1247</v>
      </c>
      <c r="M313" t="s">
        <v>60</v>
      </c>
      <c r="N313">
        <v>2</v>
      </c>
      <c r="O313">
        <v>114169.5</v>
      </c>
    </row>
    <row r="314" spans="1:15" x14ac:dyDescent="0.35">
      <c r="A314" t="s">
        <v>15</v>
      </c>
      <c r="B314" t="s">
        <v>27</v>
      </c>
      <c r="C314" t="s">
        <v>36</v>
      </c>
      <c r="D314" t="s">
        <v>201</v>
      </c>
      <c r="E314" t="s">
        <v>268</v>
      </c>
      <c r="F314" t="s">
        <v>196</v>
      </c>
      <c r="G314" t="s">
        <v>204</v>
      </c>
      <c r="H314" t="s">
        <v>22</v>
      </c>
      <c r="I314" t="s">
        <v>23</v>
      </c>
      <c r="J314" s="1">
        <v>157150</v>
      </c>
      <c r="K314" t="s">
        <v>23</v>
      </c>
      <c r="L314" t="s">
        <v>1248</v>
      </c>
      <c r="M314" t="s">
        <v>1249</v>
      </c>
      <c r="N314">
        <v>7</v>
      </c>
      <c r="O314">
        <v>120567</v>
      </c>
    </row>
    <row r="315" spans="1:15" x14ac:dyDescent="0.35">
      <c r="A315" t="s">
        <v>15</v>
      </c>
      <c r="B315" t="s">
        <v>16</v>
      </c>
      <c r="C315" t="s">
        <v>82</v>
      </c>
      <c r="D315" t="s">
        <v>1250</v>
      </c>
      <c r="E315" t="s">
        <v>228</v>
      </c>
      <c r="F315" t="s">
        <v>196</v>
      </c>
      <c r="G315" t="s">
        <v>229</v>
      </c>
      <c r="H315" t="s">
        <v>41</v>
      </c>
      <c r="I315" t="s">
        <v>58</v>
      </c>
      <c r="J315">
        <v>960</v>
      </c>
      <c r="K315" t="s">
        <v>58</v>
      </c>
      <c r="L315" t="s">
        <v>1251</v>
      </c>
      <c r="M315" t="s">
        <v>1252</v>
      </c>
      <c r="N315">
        <v>7</v>
      </c>
      <c r="O315">
        <v>114166.5</v>
      </c>
    </row>
    <row r="316" spans="1:15" x14ac:dyDescent="0.35">
      <c r="A316" t="s">
        <v>15</v>
      </c>
      <c r="B316" t="s">
        <v>27</v>
      </c>
      <c r="C316" t="s">
        <v>36</v>
      </c>
      <c r="D316" t="s">
        <v>1253</v>
      </c>
      <c r="E316" t="s">
        <v>228</v>
      </c>
      <c r="F316" t="s">
        <v>125</v>
      </c>
      <c r="G316" t="s">
        <v>1254</v>
      </c>
      <c r="H316" t="s">
        <v>22</v>
      </c>
      <c r="I316" t="s">
        <v>23</v>
      </c>
      <c r="J316" s="1">
        <v>50040</v>
      </c>
      <c r="K316" t="s">
        <v>23</v>
      </c>
      <c r="L316" t="s">
        <v>1255</v>
      </c>
      <c r="M316" t="s">
        <v>1256</v>
      </c>
      <c r="N316">
        <v>14</v>
      </c>
      <c r="O316">
        <v>86958</v>
      </c>
    </row>
    <row r="317" spans="1:15" x14ac:dyDescent="0.35">
      <c r="A317" t="s">
        <v>15</v>
      </c>
      <c r="B317" t="s">
        <v>16</v>
      </c>
      <c r="C317" t="s">
        <v>82</v>
      </c>
      <c r="D317" t="s">
        <v>1257</v>
      </c>
      <c r="E317" t="s">
        <v>84</v>
      </c>
      <c r="F317" t="s">
        <v>341</v>
      </c>
      <c r="G317" t="s">
        <v>86</v>
      </c>
      <c r="H317" t="s">
        <v>115</v>
      </c>
      <c r="I317" t="s">
        <v>58</v>
      </c>
      <c r="J317">
        <v>360</v>
      </c>
      <c r="K317" t="s">
        <v>58</v>
      </c>
      <c r="L317" t="s">
        <v>1258</v>
      </c>
      <c r="M317" t="s">
        <v>60</v>
      </c>
      <c r="N317">
        <v>2</v>
      </c>
      <c r="O317">
        <v>127872.5</v>
      </c>
    </row>
    <row r="318" spans="1:15" x14ac:dyDescent="0.35">
      <c r="A318" t="s">
        <v>15</v>
      </c>
      <c r="B318" t="s">
        <v>16</v>
      </c>
      <c r="C318" t="s">
        <v>17</v>
      </c>
      <c r="D318" t="s">
        <v>1259</v>
      </c>
      <c r="E318" t="s">
        <v>1260</v>
      </c>
      <c r="F318" t="s">
        <v>196</v>
      </c>
      <c r="G318" t="s">
        <v>1261</v>
      </c>
      <c r="H318" t="s">
        <v>115</v>
      </c>
      <c r="I318" t="s">
        <v>58</v>
      </c>
      <c r="J318">
        <v>751</v>
      </c>
      <c r="K318" t="s">
        <v>58</v>
      </c>
      <c r="L318" t="s">
        <v>1262</v>
      </c>
      <c r="M318" t="s">
        <v>118</v>
      </c>
      <c r="N318">
        <v>7</v>
      </c>
      <c r="O318">
        <v>103871</v>
      </c>
    </row>
    <row r="319" spans="1:15" x14ac:dyDescent="0.35">
      <c r="A319" t="s">
        <v>15</v>
      </c>
      <c r="B319" t="s">
        <v>52</v>
      </c>
      <c r="C319" t="s">
        <v>17</v>
      </c>
      <c r="D319" t="s">
        <v>1263</v>
      </c>
      <c r="E319" t="s">
        <v>507</v>
      </c>
      <c r="F319" t="s">
        <v>884</v>
      </c>
      <c r="G319" t="s">
        <v>72</v>
      </c>
      <c r="H319" t="s">
        <v>41</v>
      </c>
      <c r="I319" t="s">
        <v>58</v>
      </c>
      <c r="J319">
        <v>180</v>
      </c>
      <c r="K319" t="s">
        <v>58</v>
      </c>
      <c r="L319" t="s">
        <v>1264</v>
      </c>
      <c r="M319" t="s">
        <v>60</v>
      </c>
      <c r="O319">
        <v>155269.5</v>
      </c>
    </row>
    <row r="320" spans="1:15" x14ac:dyDescent="0.35">
      <c r="A320" t="s">
        <v>15</v>
      </c>
      <c r="B320" t="s">
        <v>16</v>
      </c>
      <c r="C320" t="s">
        <v>82</v>
      </c>
      <c r="D320" t="s">
        <v>1265</v>
      </c>
      <c r="E320" t="s">
        <v>1266</v>
      </c>
      <c r="F320" t="s">
        <v>399</v>
      </c>
      <c r="G320" t="s">
        <v>594</v>
      </c>
      <c r="H320" t="s">
        <v>41</v>
      </c>
      <c r="I320" t="s">
        <v>58</v>
      </c>
      <c r="J320">
        <v>900</v>
      </c>
      <c r="K320" t="s">
        <v>58</v>
      </c>
      <c r="L320" t="s">
        <v>1267</v>
      </c>
      <c r="M320" t="s">
        <v>60</v>
      </c>
      <c r="N320">
        <v>5</v>
      </c>
      <c r="O320">
        <v>39026</v>
      </c>
    </row>
    <row r="321" spans="1:15" x14ac:dyDescent="0.35">
      <c r="A321" t="s">
        <v>75</v>
      </c>
      <c r="B321" t="s">
        <v>16</v>
      </c>
      <c r="C321" t="s">
        <v>36</v>
      </c>
      <c r="D321" t="s">
        <v>1268</v>
      </c>
      <c r="E321" t="s">
        <v>1269</v>
      </c>
      <c r="F321" t="s">
        <v>125</v>
      </c>
      <c r="G321" t="s">
        <v>1270</v>
      </c>
      <c r="H321" t="s">
        <v>41</v>
      </c>
      <c r="I321" t="s">
        <v>58</v>
      </c>
      <c r="J321" s="1">
        <v>1040</v>
      </c>
      <c r="K321" t="s">
        <v>58</v>
      </c>
      <c r="L321" t="s">
        <v>1271</v>
      </c>
      <c r="M321" t="s">
        <v>1272</v>
      </c>
      <c r="N321">
        <v>14</v>
      </c>
      <c r="O321">
        <v>118741.5</v>
      </c>
    </row>
    <row r="322" spans="1:15" x14ac:dyDescent="0.35">
      <c r="A322" t="s">
        <v>15</v>
      </c>
      <c r="B322" t="s">
        <v>16</v>
      </c>
      <c r="C322" t="s">
        <v>17</v>
      </c>
      <c r="D322" t="s">
        <v>1273</v>
      </c>
      <c r="E322" t="s">
        <v>614</v>
      </c>
      <c r="F322" t="s">
        <v>431</v>
      </c>
      <c r="G322" t="s">
        <v>90</v>
      </c>
      <c r="H322" t="s">
        <v>41</v>
      </c>
      <c r="I322" t="s">
        <v>58</v>
      </c>
      <c r="J322">
        <v>780</v>
      </c>
      <c r="K322" t="s">
        <v>58</v>
      </c>
      <c r="L322" t="s">
        <v>1274</v>
      </c>
      <c r="M322" t="s">
        <v>60</v>
      </c>
      <c r="N322">
        <v>21</v>
      </c>
      <c r="O322">
        <v>171251.5</v>
      </c>
    </row>
    <row r="323" spans="1:15" x14ac:dyDescent="0.35">
      <c r="A323" t="s">
        <v>15</v>
      </c>
      <c r="B323" t="s">
        <v>16</v>
      </c>
      <c r="C323" t="s">
        <v>61</v>
      </c>
      <c r="D323" t="s">
        <v>617</v>
      </c>
      <c r="E323" t="s">
        <v>618</v>
      </c>
      <c r="F323" t="s">
        <v>196</v>
      </c>
      <c r="G323" t="s">
        <v>619</v>
      </c>
      <c r="H323" t="s">
        <v>115</v>
      </c>
      <c r="I323" t="s">
        <v>23</v>
      </c>
      <c r="J323" s="1">
        <v>2540</v>
      </c>
      <c r="K323" t="s">
        <v>23</v>
      </c>
      <c r="L323" t="s">
        <v>1275</v>
      </c>
      <c r="M323" t="s">
        <v>621</v>
      </c>
      <c r="N323">
        <v>7</v>
      </c>
      <c r="O323">
        <v>75358.5</v>
      </c>
    </row>
    <row r="324" spans="1:15" x14ac:dyDescent="0.35">
      <c r="A324" t="s">
        <v>15</v>
      </c>
      <c r="B324" t="s">
        <v>16</v>
      </c>
      <c r="C324" t="s">
        <v>36</v>
      </c>
      <c r="D324" t="s">
        <v>1276</v>
      </c>
      <c r="E324" t="s">
        <v>54</v>
      </c>
      <c r="F324" t="s">
        <v>139</v>
      </c>
      <c r="G324" t="s">
        <v>40</v>
      </c>
      <c r="H324" t="s">
        <v>41</v>
      </c>
      <c r="I324" t="s">
        <v>58</v>
      </c>
      <c r="J324">
        <v>600</v>
      </c>
      <c r="K324" t="s">
        <v>58</v>
      </c>
      <c r="L324" t="s">
        <v>1277</v>
      </c>
      <c r="M324" t="s">
        <v>60</v>
      </c>
      <c r="N324">
        <v>13</v>
      </c>
      <c r="O324">
        <v>147968</v>
      </c>
    </row>
    <row r="325" spans="1:15" x14ac:dyDescent="0.35">
      <c r="A325" t="s">
        <v>15</v>
      </c>
      <c r="B325" t="s">
        <v>52</v>
      </c>
      <c r="C325" t="s">
        <v>17</v>
      </c>
      <c r="D325" t="s">
        <v>1263</v>
      </c>
      <c r="E325" t="s">
        <v>507</v>
      </c>
      <c r="F325" t="s">
        <v>220</v>
      </c>
      <c r="G325" t="s">
        <v>72</v>
      </c>
      <c r="H325" t="s">
        <v>41</v>
      </c>
      <c r="I325" t="s">
        <v>58</v>
      </c>
      <c r="J325">
        <v>180</v>
      </c>
      <c r="K325" t="s">
        <v>58</v>
      </c>
      <c r="L325" t="s">
        <v>1278</v>
      </c>
      <c r="M325" t="s">
        <v>60</v>
      </c>
      <c r="N325">
        <v>3</v>
      </c>
      <c r="O325">
        <v>155271.5</v>
      </c>
    </row>
    <row r="326" spans="1:15" x14ac:dyDescent="0.35">
      <c r="A326" t="s">
        <v>15</v>
      </c>
      <c r="B326" t="s">
        <v>52</v>
      </c>
      <c r="C326" t="s">
        <v>36</v>
      </c>
      <c r="D326" t="s">
        <v>1279</v>
      </c>
      <c r="E326" t="s">
        <v>1280</v>
      </c>
      <c r="F326" t="s">
        <v>244</v>
      </c>
      <c r="G326" t="s">
        <v>90</v>
      </c>
      <c r="H326" t="s">
        <v>41</v>
      </c>
      <c r="I326" t="s">
        <v>58</v>
      </c>
      <c r="J326">
        <v>45</v>
      </c>
      <c r="K326" t="s">
        <v>58</v>
      </c>
      <c r="L326" t="s">
        <v>1281</v>
      </c>
      <c r="M326" t="s">
        <v>60</v>
      </c>
      <c r="N326">
        <v>2</v>
      </c>
      <c r="O326">
        <v>171251.5</v>
      </c>
    </row>
    <row r="327" spans="1:15" x14ac:dyDescent="0.35">
      <c r="A327" t="s">
        <v>15</v>
      </c>
      <c r="B327" t="s">
        <v>16</v>
      </c>
      <c r="C327" t="s">
        <v>61</v>
      </c>
      <c r="D327" t="s">
        <v>1282</v>
      </c>
      <c r="E327" t="s">
        <v>646</v>
      </c>
      <c r="F327" t="s">
        <v>39</v>
      </c>
      <c r="G327" t="s">
        <v>1283</v>
      </c>
      <c r="H327" t="s">
        <v>41</v>
      </c>
      <c r="I327" t="s">
        <v>61</v>
      </c>
      <c r="J327" s="1">
        <v>6040</v>
      </c>
      <c r="K327" t="s">
        <v>73</v>
      </c>
      <c r="L327" t="s">
        <v>1284</v>
      </c>
      <c r="M327" t="s">
        <v>1285</v>
      </c>
      <c r="O327">
        <v>80624</v>
      </c>
    </row>
    <row r="328" spans="1:15" x14ac:dyDescent="0.35">
      <c r="A328" t="s">
        <v>15</v>
      </c>
      <c r="B328" t="s">
        <v>27</v>
      </c>
      <c r="C328" t="s">
        <v>36</v>
      </c>
      <c r="D328" t="s">
        <v>1286</v>
      </c>
      <c r="E328" t="s">
        <v>1287</v>
      </c>
      <c r="F328" t="s">
        <v>244</v>
      </c>
      <c r="G328" t="s">
        <v>90</v>
      </c>
      <c r="H328" t="s">
        <v>41</v>
      </c>
      <c r="I328" t="s">
        <v>58</v>
      </c>
      <c r="J328">
        <v>420</v>
      </c>
      <c r="K328" t="s">
        <v>58</v>
      </c>
      <c r="L328" t="s">
        <v>1288</v>
      </c>
      <c r="M328" t="s">
        <v>60</v>
      </c>
      <c r="N328">
        <v>2</v>
      </c>
      <c r="O328">
        <v>218288</v>
      </c>
    </row>
    <row r="329" spans="1:15" x14ac:dyDescent="0.35">
      <c r="A329" t="s">
        <v>15</v>
      </c>
      <c r="B329" t="s">
        <v>52</v>
      </c>
      <c r="C329" t="s">
        <v>36</v>
      </c>
      <c r="D329" t="s">
        <v>1289</v>
      </c>
      <c r="E329" t="s">
        <v>1290</v>
      </c>
      <c r="F329" t="s">
        <v>196</v>
      </c>
      <c r="G329" t="s">
        <v>1291</v>
      </c>
      <c r="H329" t="s">
        <v>41</v>
      </c>
      <c r="I329" t="s">
        <v>58</v>
      </c>
      <c r="J329">
        <v>57</v>
      </c>
      <c r="K329" t="s">
        <v>58</v>
      </c>
      <c r="L329" t="s">
        <v>1292</v>
      </c>
      <c r="M329" t="s">
        <v>60</v>
      </c>
      <c r="N329">
        <v>7</v>
      </c>
      <c r="O329">
        <v>155269</v>
      </c>
    </row>
    <row r="330" spans="1:15" x14ac:dyDescent="0.35">
      <c r="A330" t="s">
        <v>15</v>
      </c>
      <c r="B330" t="s">
        <v>16</v>
      </c>
      <c r="C330" t="s">
        <v>82</v>
      </c>
      <c r="D330" t="s">
        <v>1293</v>
      </c>
      <c r="E330" t="s">
        <v>84</v>
      </c>
      <c r="F330" t="s">
        <v>244</v>
      </c>
      <c r="G330" t="s">
        <v>1294</v>
      </c>
      <c r="H330" t="s">
        <v>41</v>
      </c>
      <c r="I330" t="s">
        <v>58</v>
      </c>
      <c r="J330">
        <v>45</v>
      </c>
      <c r="K330" t="s">
        <v>58</v>
      </c>
      <c r="L330" t="s">
        <v>1295</v>
      </c>
      <c r="M330" t="s">
        <v>60</v>
      </c>
      <c r="N330">
        <v>2</v>
      </c>
      <c r="O330">
        <v>162124</v>
      </c>
    </row>
    <row r="331" spans="1:15" x14ac:dyDescent="0.35">
      <c r="A331" t="s">
        <v>15</v>
      </c>
      <c r="B331" t="s">
        <v>16</v>
      </c>
      <c r="C331" t="s">
        <v>17</v>
      </c>
      <c r="D331" t="s">
        <v>1296</v>
      </c>
      <c r="E331" t="s">
        <v>1297</v>
      </c>
      <c r="F331" t="s">
        <v>312</v>
      </c>
      <c r="G331" t="s">
        <v>86</v>
      </c>
      <c r="H331" t="s">
        <v>41</v>
      </c>
      <c r="I331" t="s">
        <v>23</v>
      </c>
      <c r="J331" s="1">
        <v>3050</v>
      </c>
      <c r="K331" t="s">
        <v>23</v>
      </c>
      <c r="L331" t="s">
        <v>1298</v>
      </c>
      <c r="M331" t="s">
        <v>1299</v>
      </c>
      <c r="N331">
        <v>4</v>
      </c>
      <c r="O331">
        <v>169882</v>
      </c>
    </row>
    <row r="332" spans="1:15" x14ac:dyDescent="0.35">
      <c r="A332" t="s">
        <v>15</v>
      </c>
      <c r="B332" t="s">
        <v>16</v>
      </c>
      <c r="C332" t="s">
        <v>61</v>
      </c>
      <c r="D332" t="s">
        <v>1300</v>
      </c>
      <c r="E332" t="s">
        <v>1301</v>
      </c>
      <c r="F332" t="s">
        <v>513</v>
      </c>
      <c r="G332" t="s">
        <v>1291</v>
      </c>
      <c r="H332" t="s">
        <v>41</v>
      </c>
      <c r="I332" t="s">
        <v>58</v>
      </c>
      <c r="J332" s="1">
        <v>5060</v>
      </c>
      <c r="K332" t="s">
        <v>58</v>
      </c>
      <c r="L332" t="s">
        <v>1302</v>
      </c>
      <c r="M332" t="s">
        <v>60</v>
      </c>
      <c r="N332">
        <v>22</v>
      </c>
      <c r="O332">
        <v>78553.5</v>
      </c>
    </row>
    <row r="333" spans="1:15" x14ac:dyDescent="0.35">
      <c r="A333" t="s">
        <v>15</v>
      </c>
      <c r="B333" t="s">
        <v>16</v>
      </c>
      <c r="C333" t="s">
        <v>36</v>
      </c>
      <c r="D333" t="s">
        <v>1303</v>
      </c>
      <c r="E333" t="s">
        <v>1304</v>
      </c>
      <c r="F333" t="s">
        <v>47</v>
      </c>
      <c r="G333" t="s">
        <v>1305</v>
      </c>
      <c r="H333" t="s">
        <v>41</v>
      </c>
      <c r="I333" t="s">
        <v>58</v>
      </c>
      <c r="J333" s="1">
        <v>2300</v>
      </c>
      <c r="K333" t="s">
        <v>58</v>
      </c>
      <c r="L333" t="s">
        <v>1306</v>
      </c>
      <c r="M333" t="s">
        <v>1307</v>
      </c>
      <c r="N333">
        <v>8</v>
      </c>
      <c r="O333">
        <v>100467</v>
      </c>
    </row>
    <row r="334" spans="1:15" x14ac:dyDescent="0.35">
      <c r="A334" t="s">
        <v>15</v>
      </c>
      <c r="B334" t="s">
        <v>16</v>
      </c>
      <c r="C334" t="s">
        <v>61</v>
      </c>
      <c r="D334" t="s">
        <v>1300</v>
      </c>
      <c r="E334" t="s">
        <v>1308</v>
      </c>
      <c r="F334" t="s">
        <v>431</v>
      </c>
      <c r="G334" t="s">
        <v>1291</v>
      </c>
      <c r="H334" t="s">
        <v>41</v>
      </c>
      <c r="I334" t="s">
        <v>58</v>
      </c>
      <c r="J334" s="1">
        <v>5030</v>
      </c>
      <c r="K334" t="s">
        <v>58</v>
      </c>
      <c r="L334" t="s">
        <v>1309</v>
      </c>
      <c r="M334" t="s">
        <v>1310</v>
      </c>
      <c r="N334">
        <v>21</v>
      </c>
      <c r="O334">
        <v>209159.5</v>
      </c>
    </row>
    <row r="335" spans="1:15" x14ac:dyDescent="0.35">
      <c r="A335" t="s">
        <v>15</v>
      </c>
      <c r="B335" t="s">
        <v>27</v>
      </c>
      <c r="C335" t="s">
        <v>61</v>
      </c>
      <c r="D335" t="s">
        <v>1311</v>
      </c>
      <c r="E335" t="s">
        <v>63</v>
      </c>
      <c r="F335" t="s">
        <v>1239</v>
      </c>
      <c r="G335" t="s">
        <v>65</v>
      </c>
      <c r="H335" t="s">
        <v>41</v>
      </c>
      <c r="I335" t="s">
        <v>58</v>
      </c>
      <c r="J335" s="1">
        <v>2060</v>
      </c>
      <c r="K335" t="s">
        <v>58</v>
      </c>
      <c r="L335" t="s">
        <v>1312</v>
      </c>
      <c r="M335" t="s">
        <v>1313</v>
      </c>
      <c r="N335">
        <v>6</v>
      </c>
      <c r="O335">
        <v>102480.5</v>
      </c>
    </row>
    <row r="336" spans="1:15" x14ac:dyDescent="0.35">
      <c r="A336" t="s">
        <v>15</v>
      </c>
      <c r="B336" t="s">
        <v>16</v>
      </c>
      <c r="C336" t="s">
        <v>36</v>
      </c>
      <c r="D336" t="s">
        <v>1314</v>
      </c>
      <c r="E336" t="s">
        <v>1315</v>
      </c>
      <c r="F336" t="s">
        <v>47</v>
      </c>
      <c r="G336" t="s">
        <v>1316</v>
      </c>
      <c r="H336" t="s">
        <v>22</v>
      </c>
      <c r="I336" t="s">
        <v>23</v>
      </c>
      <c r="J336" s="1">
        <v>4760</v>
      </c>
      <c r="K336" t="s">
        <v>23</v>
      </c>
      <c r="L336" t="s">
        <v>1317</v>
      </c>
      <c r="M336" t="s">
        <v>1318</v>
      </c>
      <c r="N336">
        <v>8</v>
      </c>
      <c r="O336">
        <v>127721.5</v>
      </c>
    </row>
    <row r="337" spans="1:15" x14ac:dyDescent="0.35">
      <c r="A337" t="s">
        <v>15</v>
      </c>
      <c r="B337" t="s">
        <v>27</v>
      </c>
      <c r="C337" t="s">
        <v>61</v>
      </c>
      <c r="D337" t="s">
        <v>1070</v>
      </c>
      <c r="E337" t="s">
        <v>1142</v>
      </c>
      <c r="F337" t="s">
        <v>856</v>
      </c>
      <c r="G337" t="s">
        <v>86</v>
      </c>
      <c r="H337" t="s">
        <v>115</v>
      </c>
      <c r="I337" t="s">
        <v>61</v>
      </c>
      <c r="J337" s="1">
        <v>4270</v>
      </c>
      <c r="K337" t="s">
        <v>960</v>
      </c>
      <c r="L337" t="s">
        <v>1319</v>
      </c>
      <c r="M337" t="s">
        <v>206</v>
      </c>
      <c r="N337">
        <v>23</v>
      </c>
      <c r="O337">
        <v>166226.5</v>
      </c>
    </row>
    <row r="338" spans="1:15" x14ac:dyDescent="0.35">
      <c r="A338" t="s">
        <v>15</v>
      </c>
      <c r="B338" t="s">
        <v>16</v>
      </c>
      <c r="C338" t="s">
        <v>17</v>
      </c>
      <c r="D338" t="s">
        <v>1320</v>
      </c>
      <c r="E338" t="s">
        <v>1321</v>
      </c>
      <c r="F338" t="s">
        <v>196</v>
      </c>
      <c r="G338" t="s">
        <v>1322</v>
      </c>
      <c r="H338" t="s">
        <v>115</v>
      </c>
      <c r="I338" t="s">
        <v>23</v>
      </c>
      <c r="J338" s="1">
        <v>22030</v>
      </c>
      <c r="K338" t="s">
        <v>23</v>
      </c>
      <c r="L338" t="s">
        <v>1323</v>
      </c>
      <c r="M338" t="s">
        <v>256</v>
      </c>
      <c r="N338">
        <v>7</v>
      </c>
      <c r="O338">
        <v>162659</v>
      </c>
    </row>
    <row r="339" spans="1:15" x14ac:dyDescent="0.35">
      <c r="A339" t="s">
        <v>15</v>
      </c>
      <c r="B339" t="s">
        <v>16</v>
      </c>
      <c r="C339" t="s">
        <v>61</v>
      </c>
      <c r="D339" t="s">
        <v>1324</v>
      </c>
      <c r="E339" t="s">
        <v>165</v>
      </c>
      <c r="F339" t="s">
        <v>341</v>
      </c>
      <c r="G339" t="s">
        <v>90</v>
      </c>
      <c r="H339" t="s">
        <v>57</v>
      </c>
      <c r="I339" t="s">
        <v>58</v>
      </c>
      <c r="J339">
        <v>90</v>
      </c>
      <c r="K339" t="s">
        <v>58</v>
      </c>
      <c r="L339" t="s">
        <v>1325</v>
      </c>
      <c r="M339" t="s">
        <v>1326</v>
      </c>
      <c r="N339">
        <v>2</v>
      </c>
      <c r="O339">
        <v>232902</v>
      </c>
    </row>
    <row r="340" spans="1:15" x14ac:dyDescent="0.35">
      <c r="A340" t="s">
        <v>15</v>
      </c>
      <c r="B340" t="s">
        <v>16</v>
      </c>
      <c r="C340" t="s">
        <v>17</v>
      </c>
      <c r="D340" t="s">
        <v>1327</v>
      </c>
      <c r="E340" t="s">
        <v>517</v>
      </c>
      <c r="F340" t="s">
        <v>125</v>
      </c>
      <c r="G340" t="s">
        <v>758</v>
      </c>
      <c r="H340" t="s">
        <v>41</v>
      </c>
      <c r="I340" t="s">
        <v>58</v>
      </c>
      <c r="J340">
        <v>330</v>
      </c>
      <c r="K340" t="s">
        <v>58</v>
      </c>
      <c r="L340" t="s">
        <v>1258</v>
      </c>
      <c r="M340" t="s">
        <v>1328</v>
      </c>
      <c r="N340">
        <v>14</v>
      </c>
      <c r="O340">
        <v>127872.5</v>
      </c>
    </row>
    <row r="341" spans="1:15" x14ac:dyDescent="0.35">
      <c r="A341" t="s">
        <v>15</v>
      </c>
      <c r="B341" t="s">
        <v>16</v>
      </c>
      <c r="C341" t="s">
        <v>17</v>
      </c>
      <c r="D341" t="s">
        <v>1099</v>
      </c>
      <c r="E341" t="s">
        <v>614</v>
      </c>
      <c r="F341" t="s">
        <v>312</v>
      </c>
      <c r="G341" t="s">
        <v>90</v>
      </c>
      <c r="H341" t="s">
        <v>41</v>
      </c>
      <c r="I341" t="s">
        <v>58</v>
      </c>
      <c r="J341">
        <v>524</v>
      </c>
      <c r="K341" t="s">
        <v>58</v>
      </c>
      <c r="L341" t="s">
        <v>1329</v>
      </c>
      <c r="M341" t="s">
        <v>110</v>
      </c>
      <c r="N341">
        <v>4</v>
      </c>
      <c r="O341">
        <v>173541</v>
      </c>
    </row>
    <row r="342" spans="1:15" x14ac:dyDescent="0.35">
      <c r="A342" t="s">
        <v>15</v>
      </c>
      <c r="B342" t="s">
        <v>69</v>
      </c>
      <c r="C342" t="s">
        <v>82</v>
      </c>
      <c r="D342" t="s">
        <v>1330</v>
      </c>
      <c r="E342" t="s">
        <v>1331</v>
      </c>
      <c r="F342" t="s">
        <v>125</v>
      </c>
      <c r="G342" t="s">
        <v>773</v>
      </c>
      <c r="H342" t="s">
        <v>115</v>
      </c>
      <c r="I342" t="s">
        <v>61</v>
      </c>
      <c r="J342" s="1">
        <v>2840</v>
      </c>
      <c r="K342" t="s">
        <v>960</v>
      </c>
      <c r="L342" t="s">
        <v>1332</v>
      </c>
      <c r="M342" t="s">
        <v>256</v>
      </c>
      <c r="N342">
        <v>14</v>
      </c>
      <c r="O342">
        <v>43700</v>
      </c>
    </row>
    <row r="343" spans="1:15" x14ac:dyDescent="0.35">
      <c r="A343" t="s">
        <v>15</v>
      </c>
      <c r="B343" t="s">
        <v>27</v>
      </c>
      <c r="C343" t="s">
        <v>61</v>
      </c>
      <c r="D343" t="s">
        <v>1333</v>
      </c>
      <c r="E343" t="s">
        <v>1334</v>
      </c>
      <c r="F343" t="s">
        <v>196</v>
      </c>
      <c r="G343" t="s">
        <v>1335</v>
      </c>
      <c r="H343" t="s">
        <v>156</v>
      </c>
      <c r="I343" t="s">
        <v>58</v>
      </c>
      <c r="J343" s="1">
        <v>13070</v>
      </c>
      <c r="K343" t="s">
        <v>58</v>
      </c>
      <c r="L343" t="s">
        <v>1336</v>
      </c>
      <c r="M343" t="s">
        <v>1337</v>
      </c>
      <c r="N343">
        <v>7</v>
      </c>
      <c r="O343">
        <v>29498</v>
      </c>
    </row>
    <row r="344" spans="1:15" x14ac:dyDescent="0.35">
      <c r="A344" t="s">
        <v>15</v>
      </c>
      <c r="B344" t="s">
        <v>52</v>
      </c>
      <c r="C344" t="s">
        <v>36</v>
      </c>
      <c r="D344" t="s">
        <v>1338</v>
      </c>
      <c r="E344" t="s">
        <v>626</v>
      </c>
      <c r="F344" t="s">
        <v>139</v>
      </c>
      <c r="G344" t="s">
        <v>90</v>
      </c>
      <c r="H344" t="s">
        <v>41</v>
      </c>
      <c r="I344" t="s">
        <v>58</v>
      </c>
      <c r="J344">
        <v>90</v>
      </c>
      <c r="K344" t="s">
        <v>58</v>
      </c>
      <c r="L344" t="s">
        <v>1339</v>
      </c>
      <c r="M344" t="s">
        <v>60</v>
      </c>
      <c r="N344">
        <v>13</v>
      </c>
      <c r="O344">
        <v>153447.5</v>
      </c>
    </row>
    <row r="345" spans="1:15" x14ac:dyDescent="0.35">
      <c r="A345" t="s">
        <v>15</v>
      </c>
      <c r="B345" t="s">
        <v>27</v>
      </c>
      <c r="C345" t="s">
        <v>17</v>
      </c>
      <c r="D345" t="s">
        <v>1340</v>
      </c>
      <c r="E345" t="s">
        <v>1341</v>
      </c>
      <c r="F345" t="s">
        <v>39</v>
      </c>
      <c r="G345" t="s">
        <v>1342</v>
      </c>
      <c r="H345" t="s">
        <v>41</v>
      </c>
      <c r="I345" t="s">
        <v>58</v>
      </c>
      <c r="J345">
        <v>150</v>
      </c>
      <c r="K345" t="s">
        <v>58</v>
      </c>
      <c r="L345" t="s">
        <v>1343</v>
      </c>
      <c r="M345" t="s">
        <v>60</v>
      </c>
      <c r="O345">
        <v>148424.5</v>
      </c>
    </row>
    <row r="346" spans="1:15" x14ac:dyDescent="0.35">
      <c r="A346" t="s">
        <v>15</v>
      </c>
      <c r="B346" t="s">
        <v>52</v>
      </c>
      <c r="C346" t="s">
        <v>17</v>
      </c>
      <c r="D346" t="s">
        <v>1344</v>
      </c>
      <c r="E346" t="s">
        <v>507</v>
      </c>
      <c r="F346" t="s">
        <v>292</v>
      </c>
      <c r="G346" t="s">
        <v>90</v>
      </c>
      <c r="H346" t="s">
        <v>41</v>
      </c>
      <c r="I346" t="s">
        <v>58</v>
      </c>
      <c r="J346">
        <v>45</v>
      </c>
      <c r="K346" t="s">
        <v>58</v>
      </c>
      <c r="L346" t="s">
        <v>1345</v>
      </c>
      <c r="M346" t="s">
        <v>60</v>
      </c>
      <c r="N346">
        <v>5</v>
      </c>
      <c r="O346">
        <v>137005.5</v>
      </c>
    </row>
    <row r="347" spans="1:15" x14ac:dyDescent="0.35">
      <c r="A347" t="s">
        <v>15</v>
      </c>
      <c r="B347" t="s">
        <v>16</v>
      </c>
      <c r="C347" t="s">
        <v>17</v>
      </c>
      <c r="D347" t="s">
        <v>1346</v>
      </c>
      <c r="E347" t="s">
        <v>1347</v>
      </c>
      <c r="F347" t="s">
        <v>196</v>
      </c>
      <c r="G347" t="s">
        <v>1348</v>
      </c>
      <c r="H347" t="s">
        <v>32</v>
      </c>
      <c r="I347" t="s">
        <v>58</v>
      </c>
      <c r="J347">
        <v>420</v>
      </c>
      <c r="K347" t="s">
        <v>58</v>
      </c>
      <c r="L347" t="s">
        <v>1349</v>
      </c>
      <c r="M347" t="s">
        <v>60</v>
      </c>
      <c r="N347">
        <v>7</v>
      </c>
      <c r="O347">
        <v>156187</v>
      </c>
    </row>
    <row r="348" spans="1:15" x14ac:dyDescent="0.35">
      <c r="A348" t="s">
        <v>15</v>
      </c>
      <c r="B348" t="s">
        <v>16</v>
      </c>
      <c r="C348" t="s">
        <v>82</v>
      </c>
      <c r="D348" t="s">
        <v>1350</v>
      </c>
      <c r="E348" t="s">
        <v>84</v>
      </c>
      <c r="F348" t="s">
        <v>237</v>
      </c>
      <c r="G348" t="s">
        <v>1351</v>
      </c>
      <c r="H348" t="s">
        <v>41</v>
      </c>
      <c r="I348" t="s">
        <v>58</v>
      </c>
      <c r="J348">
        <v>210</v>
      </c>
      <c r="K348" t="s">
        <v>58</v>
      </c>
      <c r="L348" t="s">
        <v>391</v>
      </c>
      <c r="M348" t="s">
        <v>60</v>
      </c>
      <c r="N348">
        <v>20</v>
      </c>
      <c r="O348">
        <v>200936</v>
      </c>
    </row>
    <row r="349" spans="1:15" x14ac:dyDescent="0.35">
      <c r="A349" t="s">
        <v>15</v>
      </c>
      <c r="B349" t="s">
        <v>27</v>
      </c>
      <c r="C349" t="s">
        <v>82</v>
      </c>
      <c r="D349" t="s">
        <v>1352</v>
      </c>
      <c r="E349" t="s">
        <v>1353</v>
      </c>
      <c r="F349" t="s">
        <v>89</v>
      </c>
      <c r="G349" t="s">
        <v>1354</v>
      </c>
      <c r="H349" t="s">
        <v>57</v>
      </c>
      <c r="I349" t="s">
        <v>23</v>
      </c>
      <c r="J349" s="1">
        <v>26010</v>
      </c>
      <c r="K349" t="s">
        <v>23</v>
      </c>
      <c r="L349" t="s">
        <v>1355</v>
      </c>
      <c r="M349" t="s">
        <v>1356</v>
      </c>
      <c r="O349">
        <v>90424</v>
      </c>
    </row>
    <row r="350" spans="1:15" x14ac:dyDescent="0.35">
      <c r="A350" t="s">
        <v>15</v>
      </c>
      <c r="B350" t="s">
        <v>69</v>
      </c>
      <c r="C350" t="s">
        <v>36</v>
      </c>
      <c r="D350" t="s">
        <v>1357</v>
      </c>
      <c r="E350" t="s">
        <v>1358</v>
      </c>
      <c r="F350" t="s">
        <v>125</v>
      </c>
      <c r="G350" t="s">
        <v>229</v>
      </c>
      <c r="H350" t="s">
        <v>57</v>
      </c>
      <c r="I350" t="s">
        <v>58</v>
      </c>
      <c r="J350" s="1">
        <v>3790</v>
      </c>
      <c r="K350" t="s">
        <v>58</v>
      </c>
      <c r="L350" t="s">
        <v>1196</v>
      </c>
      <c r="M350" t="s">
        <v>1359</v>
      </c>
      <c r="N350">
        <v>14</v>
      </c>
      <c r="O350">
        <v>182667</v>
      </c>
    </row>
    <row r="351" spans="1:15" x14ac:dyDescent="0.35">
      <c r="A351" t="s">
        <v>15</v>
      </c>
      <c r="B351" t="s">
        <v>27</v>
      </c>
      <c r="C351" t="s">
        <v>61</v>
      </c>
      <c r="D351" t="s">
        <v>1360</v>
      </c>
      <c r="E351" t="s">
        <v>1361</v>
      </c>
      <c r="F351" t="s">
        <v>125</v>
      </c>
      <c r="G351" t="s">
        <v>229</v>
      </c>
      <c r="H351" t="s">
        <v>22</v>
      </c>
      <c r="I351" t="s">
        <v>58</v>
      </c>
      <c r="J351" s="1">
        <v>14460</v>
      </c>
      <c r="K351" t="s">
        <v>58</v>
      </c>
      <c r="L351" t="s">
        <v>1362</v>
      </c>
      <c r="M351" t="s">
        <v>60</v>
      </c>
      <c r="N351">
        <v>14</v>
      </c>
      <c r="O351">
        <v>100473</v>
      </c>
    </row>
    <row r="352" spans="1:15" x14ac:dyDescent="0.35">
      <c r="A352" t="s">
        <v>15</v>
      </c>
      <c r="B352" t="s">
        <v>27</v>
      </c>
      <c r="C352" t="s">
        <v>17</v>
      </c>
      <c r="D352" t="s">
        <v>1363</v>
      </c>
      <c r="E352" t="s">
        <v>1341</v>
      </c>
      <c r="F352" t="s">
        <v>39</v>
      </c>
      <c r="G352" t="s">
        <v>1342</v>
      </c>
      <c r="H352" t="s">
        <v>41</v>
      </c>
      <c r="I352" t="s">
        <v>58</v>
      </c>
      <c r="J352">
        <v>150</v>
      </c>
      <c r="K352" t="s">
        <v>58</v>
      </c>
      <c r="L352" t="s">
        <v>1364</v>
      </c>
      <c r="M352" t="s">
        <v>60</v>
      </c>
      <c r="O352">
        <v>237468</v>
      </c>
    </row>
    <row r="353" spans="1:15" x14ac:dyDescent="0.35">
      <c r="A353" t="s">
        <v>15</v>
      </c>
      <c r="B353" t="s">
        <v>16</v>
      </c>
      <c r="C353" t="s">
        <v>36</v>
      </c>
      <c r="D353" t="s">
        <v>1365</v>
      </c>
      <c r="E353" t="s">
        <v>228</v>
      </c>
      <c r="F353" t="s">
        <v>39</v>
      </c>
      <c r="G353" t="s">
        <v>90</v>
      </c>
      <c r="H353" t="s">
        <v>41</v>
      </c>
      <c r="I353" t="s">
        <v>23</v>
      </c>
      <c r="J353" s="1">
        <v>1780</v>
      </c>
      <c r="K353" t="s">
        <v>23</v>
      </c>
      <c r="L353" t="s">
        <v>1366</v>
      </c>
      <c r="M353" t="s">
        <v>1367</v>
      </c>
      <c r="O353">
        <v>114170</v>
      </c>
    </row>
    <row r="354" spans="1:15" x14ac:dyDescent="0.35">
      <c r="A354" t="s">
        <v>15</v>
      </c>
      <c r="B354" t="s">
        <v>16</v>
      </c>
      <c r="C354" t="s">
        <v>61</v>
      </c>
      <c r="D354" t="s">
        <v>1368</v>
      </c>
      <c r="E354" t="s">
        <v>1142</v>
      </c>
      <c r="F354" t="s">
        <v>125</v>
      </c>
      <c r="G354" t="s">
        <v>90</v>
      </c>
      <c r="H354" t="s">
        <v>57</v>
      </c>
      <c r="I354" t="s">
        <v>58</v>
      </c>
      <c r="J354">
        <v>700</v>
      </c>
      <c r="K354" t="s">
        <v>58</v>
      </c>
      <c r="L354" t="s">
        <v>1369</v>
      </c>
      <c r="M354" t="s">
        <v>1370</v>
      </c>
      <c r="N354">
        <v>14</v>
      </c>
      <c r="O354">
        <v>197509.5</v>
      </c>
    </row>
    <row r="355" spans="1:15" x14ac:dyDescent="0.35">
      <c r="A355" t="s">
        <v>15</v>
      </c>
      <c r="B355" t="s">
        <v>16</v>
      </c>
      <c r="C355" t="s">
        <v>17</v>
      </c>
      <c r="D355" t="s">
        <v>1371</v>
      </c>
      <c r="E355" t="s">
        <v>258</v>
      </c>
      <c r="F355" t="s">
        <v>30</v>
      </c>
      <c r="G355" t="s">
        <v>65</v>
      </c>
      <c r="H355" t="s">
        <v>22</v>
      </c>
      <c r="I355" t="s">
        <v>23</v>
      </c>
      <c r="J355" s="1">
        <v>1800</v>
      </c>
      <c r="K355" t="s">
        <v>23</v>
      </c>
      <c r="L355" t="s">
        <v>1372</v>
      </c>
      <c r="M355" t="s">
        <v>1373</v>
      </c>
      <c r="N355">
        <v>15</v>
      </c>
      <c r="O355">
        <v>70784.5</v>
      </c>
    </row>
    <row r="356" spans="1:15" x14ac:dyDescent="0.35">
      <c r="A356" t="s">
        <v>15</v>
      </c>
      <c r="B356" t="s">
        <v>16</v>
      </c>
      <c r="C356" t="s">
        <v>36</v>
      </c>
      <c r="D356" t="s">
        <v>1374</v>
      </c>
      <c r="E356" t="s">
        <v>1375</v>
      </c>
      <c r="F356" t="s">
        <v>244</v>
      </c>
      <c r="G356" t="s">
        <v>1376</v>
      </c>
      <c r="H356" t="s">
        <v>57</v>
      </c>
      <c r="I356" t="s">
        <v>23</v>
      </c>
      <c r="J356" s="1">
        <v>3780</v>
      </c>
      <c r="K356" t="s">
        <v>23</v>
      </c>
      <c r="L356" t="s">
        <v>1377</v>
      </c>
      <c r="M356" t="s">
        <v>1378</v>
      </c>
      <c r="N356">
        <v>2</v>
      </c>
      <c r="O356">
        <v>116052</v>
      </c>
    </row>
    <row r="357" spans="1:15" x14ac:dyDescent="0.35">
      <c r="A357" t="s">
        <v>15</v>
      </c>
      <c r="B357" t="s">
        <v>99</v>
      </c>
      <c r="C357" t="s">
        <v>36</v>
      </c>
      <c r="D357" t="s">
        <v>1379</v>
      </c>
      <c r="E357" t="s">
        <v>1380</v>
      </c>
      <c r="F357" t="s">
        <v>399</v>
      </c>
      <c r="G357" t="s">
        <v>90</v>
      </c>
      <c r="H357" t="s">
        <v>41</v>
      </c>
      <c r="I357" t="s">
        <v>58</v>
      </c>
      <c r="J357">
        <v>300</v>
      </c>
      <c r="K357" t="s">
        <v>58</v>
      </c>
      <c r="L357" t="s">
        <v>1381</v>
      </c>
      <c r="M357" t="s">
        <v>1382</v>
      </c>
      <c r="N357">
        <v>5</v>
      </c>
      <c r="O357">
        <v>109147.5</v>
      </c>
    </row>
    <row r="358" spans="1:15" x14ac:dyDescent="0.35">
      <c r="A358" t="s">
        <v>15</v>
      </c>
      <c r="B358" t="s">
        <v>16</v>
      </c>
      <c r="C358" t="s">
        <v>36</v>
      </c>
      <c r="D358" t="s">
        <v>1383</v>
      </c>
      <c r="E358" t="s">
        <v>228</v>
      </c>
      <c r="F358" t="s">
        <v>203</v>
      </c>
      <c r="G358" t="s">
        <v>1384</v>
      </c>
      <c r="H358" t="s">
        <v>41</v>
      </c>
      <c r="I358" t="s">
        <v>58</v>
      </c>
      <c r="J358">
        <v>90</v>
      </c>
      <c r="K358" t="s">
        <v>58</v>
      </c>
      <c r="L358" t="s">
        <v>1385</v>
      </c>
      <c r="M358" t="s">
        <v>118</v>
      </c>
      <c r="N358">
        <v>25</v>
      </c>
      <c r="O358">
        <v>105039.5</v>
      </c>
    </row>
    <row r="359" spans="1:15" x14ac:dyDescent="0.35">
      <c r="A359" t="s">
        <v>15</v>
      </c>
      <c r="B359" t="s">
        <v>52</v>
      </c>
      <c r="C359" t="s">
        <v>61</v>
      </c>
      <c r="D359" t="s">
        <v>1386</v>
      </c>
      <c r="E359" t="s">
        <v>637</v>
      </c>
      <c r="F359" t="s">
        <v>244</v>
      </c>
      <c r="G359" t="s">
        <v>1387</v>
      </c>
      <c r="H359" t="s">
        <v>115</v>
      </c>
      <c r="I359" t="s">
        <v>23</v>
      </c>
      <c r="J359" s="1">
        <v>2320</v>
      </c>
      <c r="K359" t="s">
        <v>23</v>
      </c>
      <c r="L359" t="s">
        <v>1388</v>
      </c>
      <c r="M359" t="s">
        <v>60</v>
      </c>
      <c r="N359">
        <v>2</v>
      </c>
      <c r="O359">
        <v>50348.5</v>
      </c>
    </row>
    <row r="360" spans="1:15" x14ac:dyDescent="0.35">
      <c r="A360" t="s">
        <v>15</v>
      </c>
      <c r="B360" t="s">
        <v>16</v>
      </c>
      <c r="C360" t="s">
        <v>82</v>
      </c>
      <c r="D360" t="s">
        <v>1389</v>
      </c>
      <c r="E360" t="s">
        <v>243</v>
      </c>
      <c r="F360" t="s">
        <v>125</v>
      </c>
      <c r="G360" t="s">
        <v>588</v>
      </c>
      <c r="H360" t="s">
        <v>57</v>
      </c>
      <c r="I360" t="s">
        <v>58</v>
      </c>
      <c r="J360">
        <v>226</v>
      </c>
      <c r="K360" t="s">
        <v>58</v>
      </c>
      <c r="L360" t="s">
        <v>1390</v>
      </c>
      <c r="M360" t="s">
        <v>659</v>
      </c>
      <c r="N360">
        <v>14</v>
      </c>
      <c r="O360">
        <v>175823.5</v>
      </c>
    </row>
    <row r="361" spans="1:15" x14ac:dyDescent="0.35">
      <c r="A361" t="s">
        <v>15</v>
      </c>
      <c r="B361" t="s">
        <v>16</v>
      </c>
      <c r="C361" t="s">
        <v>36</v>
      </c>
      <c r="D361" t="s">
        <v>1391</v>
      </c>
      <c r="E361" t="s">
        <v>228</v>
      </c>
      <c r="F361" t="s">
        <v>39</v>
      </c>
      <c r="G361" t="s">
        <v>580</v>
      </c>
      <c r="H361" t="s">
        <v>41</v>
      </c>
      <c r="I361" t="s">
        <v>23</v>
      </c>
      <c r="J361" s="1">
        <v>34020</v>
      </c>
      <c r="K361" t="s">
        <v>23</v>
      </c>
      <c r="L361" t="s">
        <v>1392</v>
      </c>
      <c r="M361" t="s">
        <v>1393</v>
      </c>
      <c r="O361">
        <v>164406</v>
      </c>
    </row>
    <row r="362" spans="1:15" x14ac:dyDescent="0.35">
      <c r="A362" t="s">
        <v>15</v>
      </c>
      <c r="B362" t="s">
        <v>16</v>
      </c>
      <c r="C362" t="s">
        <v>61</v>
      </c>
      <c r="D362" t="s">
        <v>1394</v>
      </c>
      <c r="E362" t="s">
        <v>1395</v>
      </c>
      <c r="F362" t="s">
        <v>39</v>
      </c>
      <c r="G362" t="s">
        <v>1396</v>
      </c>
      <c r="H362" t="s">
        <v>22</v>
      </c>
      <c r="I362" t="s">
        <v>58</v>
      </c>
      <c r="J362" s="1">
        <v>70060</v>
      </c>
      <c r="K362" t="s">
        <v>58</v>
      </c>
      <c r="L362" t="s">
        <v>1397</v>
      </c>
      <c r="M362" t="s">
        <v>1398</v>
      </c>
      <c r="O362">
        <v>115541</v>
      </c>
    </row>
    <row r="363" spans="1:15" x14ac:dyDescent="0.35">
      <c r="A363" t="s">
        <v>15</v>
      </c>
      <c r="B363" t="s">
        <v>16</v>
      </c>
      <c r="C363" t="s">
        <v>61</v>
      </c>
      <c r="D363" t="s">
        <v>1399</v>
      </c>
      <c r="E363" t="s">
        <v>1400</v>
      </c>
      <c r="F363" t="s">
        <v>196</v>
      </c>
      <c r="G363" t="s">
        <v>65</v>
      </c>
      <c r="H363" t="s">
        <v>41</v>
      </c>
      <c r="I363" t="s">
        <v>23</v>
      </c>
      <c r="J363" s="1">
        <v>26670</v>
      </c>
      <c r="K363" t="s">
        <v>23</v>
      </c>
      <c r="L363" t="s">
        <v>1401</v>
      </c>
      <c r="M363" t="s">
        <v>1402</v>
      </c>
      <c r="N363">
        <v>7</v>
      </c>
      <c r="O363">
        <v>18675</v>
      </c>
    </row>
    <row r="364" spans="1:15" x14ac:dyDescent="0.35">
      <c r="A364" t="s">
        <v>15</v>
      </c>
      <c r="B364" t="s">
        <v>16</v>
      </c>
      <c r="C364" t="s">
        <v>36</v>
      </c>
      <c r="D364" t="s">
        <v>1141</v>
      </c>
      <c r="E364" t="s">
        <v>63</v>
      </c>
      <c r="F364" t="s">
        <v>441</v>
      </c>
      <c r="G364" t="s">
        <v>86</v>
      </c>
      <c r="H364" t="s">
        <v>57</v>
      </c>
      <c r="I364" t="s">
        <v>23</v>
      </c>
      <c r="J364" s="1">
        <v>3060</v>
      </c>
      <c r="K364" t="s">
        <v>23</v>
      </c>
      <c r="L364" t="s">
        <v>1403</v>
      </c>
      <c r="M364" t="s">
        <v>1404</v>
      </c>
      <c r="N364">
        <v>10</v>
      </c>
      <c r="O364">
        <v>141570</v>
      </c>
    </row>
    <row r="365" spans="1:15" x14ac:dyDescent="0.35">
      <c r="A365" t="s">
        <v>75</v>
      </c>
      <c r="B365" t="s">
        <v>52</v>
      </c>
      <c r="C365" t="s">
        <v>17</v>
      </c>
      <c r="D365" t="s">
        <v>1405</v>
      </c>
      <c r="E365" t="s">
        <v>507</v>
      </c>
      <c r="F365" t="s">
        <v>277</v>
      </c>
      <c r="G365" t="s">
        <v>90</v>
      </c>
      <c r="H365" t="s">
        <v>156</v>
      </c>
      <c r="I365" t="s">
        <v>58</v>
      </c>
      <c r="J365" s="1">
        <v>1910</v>
      </c>
      <c r="K365" t="s">
        <v>58</v>
      </c>
      <c r="L365" t="s">
        <v>1406</v>
      </c>
      <c r="M365" t="s">
        <v>60</v>
      </c>
      <c r="N365">
        <v>12</v>
      </c>
      <c r="O365">
        <v>123307</v>
      </c>
    </row>
    <row r="366" spans="1:15" x14ac:dyDescent="0.35">
      <c r="A366" t="s">
        <v>15</v>
      </c>
      <c r="B366" t="s">
        <v>16</v>
      </c>
      <c r="C366" t="s">
        <v>17</v>
      </c>
      <c r="D366" t="s">
        <v>389</v>
      </c>
      <c r="E366" t="s">
        <v>1407</v>
      </c>
      <c r="F366" t="s">
        <v>89</v>
      </c>
      <c r="G366" t="s">
        <v>48</v>
      </c>
      <c r="H366" t="s">
        <v>41</v>
      </c>
      <c r="I366" t="s">
        <v>23</v>
      </c>
      <c r="J366" s="1">
        <v>2760</v>
      </c>
      <c r="K366" t="s">
        <v>23</v>
      </c>
      <c r="L366" t="s">
        <v>1408</v>
      </c>
      <c r="M366" t="s">
        <v>60</v>
      </c>
      <c r="O366">
        <v>176279</v>
      </c>
    </row>
    <row r="367" spans="1:15" x14ac:dyDescent="0.35">
      <c r="A367" t="s">
        <v>15</v>
      </c>
      <c r="B367" t="s">
        <v>16</v>
      </c>
      <c r="C367" t="s">
        <v>36</v>
      </c>
      <c r="D367" t="s">
        <v>1409</v>
      </c>
      <c r="E367" t="s">
        <v>1410</v>
      </c>
      <c r="F367" t="s">
        <v>312</v>
      </c>
      <c r="G367" t="s">
        <v>1411</v>
      </c>
      <c r="H367" t="s">
        <v>41</v>
      </c>
      <c r="I367" t="s">
        <v>58</v>
      </c>
      <c r="J367" s="1">
        <v>25090</v>
      </c>
      <c r="K367" t="s">
        <v>58</v>
      </c>
      <c r="L367" t="s">
        <v>1412</v>
      </c>
      <c r="M367" t="s">
        <v>1413</v>
      </c>
      <c r="N367">
        <v>4</v>
      </c>
      <c r="O367">
        <v>155268.5</v>
      </c>
    </row>
    <row r="368" spans="1:15" x14ac:dyDescent="0.35">
      <c r="A368" t="s">
        <v>15</v>
      </c>
      <c r="B368" t="s">
        <v>16</v>
      </c>
      <c r="C368" t="s">
        <v>61</v>
      </c>
      <c r="D368" t="s">
        <v>1414</v>
      </c>
      <c r="E368" t="s">
        <v>1415</v>
      </c>
      <c r="F368" t="s">
        <v>399</v>
      </c>
      <c r="G368" t="s">
        <v>1342</v>
      </c>
      <c r="H368" t="s">
        <v>115</v>
      </c>
      <c r="I368" t="s">
        <v>58</v>
      </c>
      <c r="J368" s="1">
        <v>5674</v>
      </c>
      <c r="K368" t="s">
        <v>58</v>
      </c>
      <c r="L368" t="s">
        <v>1416</v>
      </c>
      <c r="M368" t="s">
        <v>1417</v>
      </c>
      <c r="N368">
        <v>5</v>
      </c>
      <c r="O368">
        <v>129408</v>
      </c>
    </row>
    <row r="369" spans="1:15" x14ac:dyDescent="0.35">
      <c r="A369" t="s">
        <v>15</v>
      </c>
      <c r="B369" t="s">
        <v>16</v>
      </c>
      <c r="C369" t="s">
        <v>61</v>
      </c>
      <c r="D369" t="s">
        <v>1418</v>
      </c>
      <c r="E369" t="s">
        <v>1419</v>
      </c>
      <c r="F369" t="s">
        <v>39</v>
      </c>
      <c r="G369" t="s">
        <v>56</v>
      </c>
      <c r="H369" t="s">
        <v>41</v>
      </c>
      <c r="I369" t="s">
        <v>23</v>
      </c>
      <c r="J369" s="1">
        <v>96050</v>
      </c>
      <c r="K369" t="s">
        <v>23</v>
      </c>
      <c r="L369" t="s">
        <v>1420</v>
      </c>
      <c r="M369" t="s">
        <v>256</v>
      </c>
      <c r="O369">
        <v>95902</v>
      </c>
    </row>
    <row r="370" spans="1:15" x14ac:dyDescent="0.35">
      <c r="A370" t="s">
        <v>15</v>
      </c>
      <c r="B370" t="s">
        <v>16</v>
      </c>
      <c r="C370" t="s">
        <v>17</v>
      </c>
      <c r="D370" t="s">
        <v>1421</v>
      </c>
      <c r="E370" t="s">
        <v>1422</v>
      </c>
      <c r="F370" t="s">
        <v>508</v>
      </c>
      <c r="G370" t="s">
        <v>1423</v>
      </c>
      <c r="H370" t="s">
        <v>32</v>
      </c>
      <c r="I370" t="s">
        <v>58</v>
      </c>
      <c r="J370">
        <v>300</v>
      </c>
      <c r="K370" t="s">
        <v>58</v>
      </c>
      <c r="L370" t="s">
        <v>1424</v>
      </c>
      <c r="M370" t="s">
        <v>60</v>
      </c>
      <c r="N370">
        <v>7</v>
      </c>
      <c r="O370">
        <v>67506.5</v>
      </c>
    </row>
    <row r="371" spans="1:15" x14ac:dyDescent="0.35">
      <c r="A371" t="s">
        <v>15</v>
      </c>
      <c r="B371" t="s">
        <v>16</v>
      </c>
      <c r="C371" t="s">
        <v>17</v>
      </c>
      <c r="D371" t="s">
        <v>1425</v>
      </c>
      <c r="E371" t="s">
        <v>1297</v>
      </c>
      <c r="F371" t="s">
        <v>125</v>
      </c>
      <c r="G371" t="s">
        <v>1426</v>
      </c>
      <c r="H371" t="s">
        <v>41</v>
      </c>
      <c r="I371" t="s">
        <v>58</v>
      </c>
      <c r="J371" s="1">
        <v>5780</v>
      </c>
      <c r="K371" t="s">
        <v>58</v>
      </c>
      <c r="L371" t="s">
        <v>1427</v>
      </c>
      <c r="M371" t="s">
        <v>1428</v>
      </c>
      <c r="N371">
        <v>14</v>
      </c>
      <c r="O371">
        <v>168969</v>
      </c>
    </row>
    <row r="372" spans="1:15" x14ac:dyDescent="0.35">
      <c r="A372" t="s">
        <v>15</v>
      </c>
      <c r="B372" t="s">
        <v>16</v>
      </c>
      <c r="C372" t="s">
        <v>17</v>
      </c>
      <c r="D372" t="s">
        <v>1429</v>
      </c>
      <c r="E372" t="s">
        <v>202</v>
      </c>
      <c r="F372" t="s">
        <v>1149</v>
      </c>
      <c r="G372" t="s">
        <v>204</v>
      </c>
      <c r="H372" t="s">
        <v>22</v>
      </c>
      <c r="I372" t="s">
        <v>23</v>
      </c>
      <c r="J372" s="1">
        <v>74020</v>
      </c>
      <c r="K372" t="s">
        <v>23</v>
      </c>
      <c r="L372" t="s">
        <v>1430</v>
      </c>
      <c r="M372" t="s">
        <v>1431</v>
      </c>
      <c r="N372">
        <v>18</v>
      </c>
      <c r="O372">
        <v>209611.5</v>
      </c>
    </row>
    <row r="373" spans="1:15" x14ac:dyDescent="0.35">
      <c r="A373" t="s">
        <v>15</v>
      </c>
      <c r="B373" t="s">
        <v>16</v>
      </c>
      <c r="C373" t="s">
        <v>36</v>
      </c>
      <c r="D373" t="s">
        <v>1432</v>
      </c>
      <c r="E373" t="s">
        <v>367</v>
      </c>
      <c r="F373" t="s">
        <v>244</v>
      </c>
      <c r="G373" t="s">
        <v>1183</v>
      </c>
      <c r="H373" t="s">
        <v>73</v>
      </c>
      <c r="I373" t="s">
        <v>61</v>
      </c>
      <c r="J373" s="1">
        <v>12609</v>
      </c>
      <c r="K373" t="s">
        <v>73</v>
      </c>
      <c r="L373" t="s">
        <v>1433</v>
      </c>
      <c r="M373" t="s">
        <v>81</v>
      </c>
      <c r="N373">
        <v>2</v>
      </c>
      <c r="O373">
        <v>74793</v>
      </c>
    </row>
    <row r="374" spans="1:15" x14ac:dyDescent="0.35">
      <c r="A374" t="s">
        <v>15</v>
      </c>
      <c r="B374" t="s">
        <v>16</v>
      </c>
      <c r="C374" t="s">
        <v>36</v>
      </c>
      <c r="D374" t="s">
        <v>1434</v>
      </c>
      <c r="E374" t="s">
        <v>1435</v>
      </c>
      <c r="F374" t="s">
        <v>244</v>
      </c>
      <c r="G374" t="s">
        <v>1291</v>
      </c>
      <c r="H374" t="s">
        <v>41</v>
      </c>
      <c r="I374" t="s">
        <v>58</v>
      </c>
      <c r="J374" s="1">
        <v>3550</v>
      </c>
      <c r="K374" t="s">
        <v>58</v>
      </c>
      <c r="L374" t="s">
        <v>1436</v>
      </c>
      <c r="M374" t="s">
        <v>1437</v>
      </c>
      <c r="N374">
        <v>2</v>
      </c>
      <c r="O374">
        <v>52067</v>
      </c>
    </row>
    <row r="375" spans="1:15" x14ac:dyDescent="0.35">
      <c r="A375" t="s">
        <v>15</v>
      </c>
      <c r="B375" t="s">
        <v>16</v>
      </c>
      <c r="C375" t="s">
        <v>36</v>
      </c>
      <c r="D375" t="s">
        <v>1438</v>
      </c>
      <c r="E375" t="s">
        <v>1439</v>
      </c>
      <c r="F375" t="s">
        <v>39</v>
      </c>
      <c r="G375" t="s">
        <v>866</v>
      </c>
      <c r="H375" t="s">
        <v>41</v>
      </c>
      <c r="I375" t="s">
        <v>58</v>
      </c>
      <c r="J375">
        <v>150</v>
      </c>
      <c r="K375" t="s">
        <v>58</v>
      </c>
      <c r="L375" t="s">
        <v>1440</v>
      </c>
      <c r="M375" t="s">
        <v>200</v>
      </c>
      <c r="O375">
        <v>63670.5</v>
      </c>
    </row>
    <row r="376" spans="1:15" x14ac:dyDescent="0.35">
      <c r="A376" t="s">
        <v>15</v>
      </c>
      <c r="B376" t="s">
        <v>16</v>
      </c>
      <c r="C376" t="s">
        <v>36</v>
      </c>
      <c r="D376" t="s">
        <v>1441</v>
      </c>
      <c r="E376" t="s">
        <v>161</v>
      </c>
      <c r="F376" t="s">
        <v>39</v>
      </c>
      <c r="G376" t="s">
        <v>150</v>
      </c>
      <c r="H376" t="s">
        <v>22</v>
      </c>
      <c r="I376" t="s">
        <v>23</v>
      </c>
      <c r="J376" s="1">
        <v>20600</v>
      </c>
      <c r="K376" t="s">
        <v>23</v>
      </c>
      <c r="L376" t="s">
        <v>1442</v>
      </c>
      <c r="M376" t="s">
        <v>1443</v>
      </c>
      <c r="O376">
        <v>59210</v>
      </c>
    </row>
    <row r="377" spans="1:15" x14ac:dyDescent="0.35">
      <c r="A377" t="s">
        <v>15</v>
      </c>
      <c r="B377" t="s">
        <v>16</v>
      </c>
      <c r="C377" t="s">
        <v>61</v>
      </c>
      <c r="D377" t="s">
        <v>1444</v>
      </c>
      <c r="E377" t="s">
        <v>995</v>
      </c>
      <c r="F377" t="s">
        <v>196</v>
      </c>
      <c r="G377" t="s">
        <v>65</v>
      </c>
      <c r="H377" t="s">
        <v>41</v>
      </c>
      <c r="I377" t="s">
        <v>23</v>
      </c>
      <c r="J377" s="1">
        <v>10040</v>
      </c>
      <c r="K377" t="s">
        <v>23</v>
      </c>
      <c r="L377" t="s">
        <v>1445</v>
      </c>
      <c r="M377" t="s">
        <v>1446</v>
      </c>
      <c r="N377">
        <v>7</v>
      </c>
      <c r="O377">
        <v>86976</v>
      </c>
    </row>
    <row r="378" spans="1:15" x14ac:dyDescent="0.35">
      <c r="A378" t="s">
        <v>15</v>
      </c>
      <c r="B378" t="s">
        <v>16</v>
      </c>
      <c r="C378" t="s">
        <v>61</v>
      </c>
      <c r="D378" t="s">
        <v>1447</v>
      </c>
      <c r="E378" t="s">
        <v>1448</v>
      </c>
      <c r="F378" t="s">
        <v>39</v>
      </c>
      <c r="G378" t="s">
        <v>1449</v>
      </c>
      <c r="H378" t="s">
        <v>41</v>
      </c>
      <c r="I378" t="s">
        <v>23</v>
      </c>
      <c r="J378" s="1">
        <v>2550</v>
      </c>
      <c r="K378" t="s">
        <v>23</v>
      </c>
      <c r="L378" t="s">
        <v>34</v>
      </c>
      <c r="M378" t="s">
        <v>1450</v>
      </c>
      <c r="O378">
        <v>118733</v>
      </c>
    </row>
    <row r="379" spans="1:15" x14ac:dyDescent="0.35">
      <c r="A379" t="s">
        <v>15</v>
      </c>
      <c r="B379" t="s">
        <v>16</v>
      </c>
      <c r="C379" t="s">
        <v>17</v>
      </c>
      <c r="D379" t="s">
        <v>1451</v>
      </c>
      <c r="E379" t="s">
        <v>1223</v>
      </c>
      <c r="F379" t="s">
        <v>196</v>
      </c>
      <c r="G379" t="s">
        <v>229</v>
      </c>
      <c r="H379" t="s">
        <v>115</v>
      </c>
      <c r="I379" t="s">
        <v>61</v>
      </c>
      <c r="J379" s="1">
        <v>1570</v>
      </c>
      <c r="K379" t="s">
        <v>960</v>
      </c>
      <c r="L379" t="s">
        <v>1452</v>
      </c>
      <c r="M379" t="s">
        <v>1453</v>
      </c>
      <c r="N379">
        <v>7</v>
      </c>
      <c r="O379">
        <v>88796</v>
      </c>
    </row>
    <row r="380" spans="1:15" x14ac:dyDescent="0.35">
      <c r="A380" t="s">
        <v>15</v>
      </c>
      <c r="B380" t="s">
        <v>16</v>
      </c>
      <c r="C380" t="s">
        <v>36</v>
      </c>
      <c r="D380" t="s">
        <v>558</v>
      </c>
      <c r="E380" t="s">
        <v>1454</v>
      </c>
      <c r="F380" t="s">
        <v>64</v>
      </c>
      <c r="G380" t="s">
        <v>560</v>
      </c>
      <c r="H380" t="s">
        <v>73</v>
      </c>
      <c r="I380" t="s">
        <v>61</v>
      </c>
      <c r="J380" s="1">
        <v>9260</v>
      </c>
      <c r="K380" t="s">
        <v>73</v>
      </c>
      <c r="L380" t="s">
        <v>1455</v>
      </c>
      <c r="M380" t="s">
        <v>81</v>
      </c>
      <c r="N380">
        <v>3</v>
      </c>
      <c r="O380">
        <v>80149</v>
      </c>
    </row>
    <row r="381" spans="1:15" x14ac:dyDescent="0.35">
      <c r="A381" t="s">
        <v>15</v>
      </c>
      <c r="B381" t="s">
        <v>99</v>
      </c>
      <c r="C381" t="s">
        <v>36</v>
      </c>
      <c r="D381" t="s">
        <v>1438</v>
      </c>
      <c r="E381" t="s">
        <v>324</v>
      </c>
      <c r="F381" t="s">
        <v>39</v>
      </c>
      <c r="G381" t="s">
        <v>866</v>
      </c>
      <c r="H381" t="s">
        <v>41</v>
      </c>
      <c r="I381" t="s">
        <v>58</v>
      </c>
      <c r="J381">
        <v>150</v>
      </c>
      <c r="K381" t="s">
        <v>58</v>
      </c>
      <c r="L381" t="s">
        <v>1456</v>
      </c>
      <c r="M381" t="s">
        <v>200</v>
      </c>
      <c r="O381">
        <v>89501.5</v>
      </c>
    </row>
    <row r="382" spans="1:15" x14ac:dyDescent="0.35">
      <c r="A382" t="s">
        <v>15</v>
      </c>
      <c r="B382" t="s">
        <v>16</v>
      </c>
      <c r="C382" t="s">
        <v>17</v>
      </c>
      <c r="D382" t="s">
        <v>1276</v>
      </c>
      <c r="E382" t="s">
        <v>507</v>
      </c>
      <c r="F382" t="s">
        <v>139</v>
      </c>
      <c r="G382" t="s">
        <v>40</v>
      </c>
      <c r="H382" t="s">
        <v>41</v>
      </c>
      <c r="I382" t="s">
        <v>58</v>
      </c>
      <c r="J382">
        <v>600</v>
      </c>
      <c r="K382" t="s">
        <v>58</v>
      </c>
      <c r="L382" t="s">
        <v>1457</v>
      </c>
      <c r="M382" t="s">
        <v>60</v>
      </c>
      <c r="N382">
        <v>13</v>
      </c>
      <c r="O382">
        <v>195456</v>
      </c>
    </row>
    <row r="383" spans="1:15" x14ac:dyDescent="0.35">
      <c r="A383" t="s">
        <v>15</v>
      </c>
      <c r="B383" t="s">
        <v>52</v>
      </c>
      <c r="C383" t="s">
        <v>36</v>
      </c>
      <c r="D383" t="s">
        <v>1458</v>
      </c>
      <c r="E383" t="s">
        <v>54</v>
      </c>
      <c r="F383" t="s">
        <v>125</v>
      </c>
      <c r="G383" t="s">
        <v>1459</v>
      </c>
      <c r="H383" t="s">
        <v>41</v>
      </c>
      <c r="I383" t="s">
        <v>23</v>
      </c>
      <c r="J383" s="1">
        <v>2270</v>
      </c>
      <c r="K383" t="s">
        <v>23</v>
      </c>
      <c r="L383" t="s">
        <v>1460</v>
      </c>
      <c r="M383" t="s">
        <v>60</v>
      </c>
      <c r="N383">
        <v>14</v>
      </c>
      <c r="O383">
        <v>133537</v>
      </c>
    </row>
    <row r="384" spans="1:15" x14ac:dyDescent="0.35">
      <c r="A384" t="s">
        <v>15</v>
      </c>
      <c r="B384" t="s">
        <v>27</v>
      </c>
      <c r="C384" t="s">
        <v>17</v>
      </c>
      <c r="D384" t="s">
        <v>1461</v>
      </c>
      <c r="E384" t="s">
        <v>1223</v>
      </c>
      <c r="F384" t="s">
        <v>78</v>
      </c>
      <c r="G384" t="s">
        <v>758</v>
      </c>
      <c r="H384" t="s">
        <v>320</v>
      </c>
      <c r="I384" t="s">
        <v>58</v>
      </c>
      <c r="J384" s="1">
        <v>1260</v>
      </c>
      <c r="K384" t="s">
        <v>58</v>
      </c>
      <c r="L384" t="s">
        <v>1462</v>
      </c>
      <c r="M384" t="s">
        <v>60</v>
      </c>
      <c r="N384">
        <v>9</v>
      </c>
      <c r="O384">
        <v>228339.5</v>
      </c>
    </row>
    <row r="385" spans="1:15" x14ac:dyDescent="0.35">
      <c r="A385" t="s">
        <v>15</v>
      </c>
      <c r="B385" t="s">
        <v>16</v>
      </c>
      <c r="C385" t="s">
        <v>36</v>
      </c>
      <c r="D385" t="s">
        <v>1463</v>
      </c>
      <c r="E385" t="s">
        <v>165</v>
      </c>
      <c r="F385" t="s">
        <v>312</v>
      </c>
      <c r="G385" t="s">
        <v>90</v>
      </c>
      <c r="H385" t="s">
        <v>22</v>
      </c>
      <c r="I385" t="s">
        <v>23</v>
      </c>
      <c r="J385" s="1">
        <v>117030</v>
      </c>
      <c r="K385" t="s">
        <v>23</v>
      </c>
      <c r="L385" t="s">
        <v>1464</v>
      </c>
      <c r="M385" t="s">
        <v>1465</v>
      </c>
      <c r="N385">
        <v>4</v>
      </c>
      <c r="O385">
        <v>153276.5</v>
      </c>
    </row>
    <row r="386" spans="1:15" x14ac:dyDescent="0.35">
      <c r="A386" t="s">
        <v>15</v>
      </c>
      <c r="B386" t="s">
        <v>16</v>
      </c>
      <c r="C386" t="s">
        <v>17</v>
      </c>
      <c r="D386" t="s">
        <v>1466</v>
      </c>
      <c r="E386" t="s">
        <v>1297</v>
      </c>
      <c r="F386" t="s">
        <v>196</v>
      </c>
      <c r="G386" t="s">
        <v>65</v>
      </c>
      <c r="H386" t="s">
        <v>73</v>
      </c>
      <c r="I386" t="s">
        <v>61</v>
      </c>
      <c r="J386" s="1">
        <v>3510</v>
      </c>
      <c r="K386" t="s">
        <v>73</v>
      </c>
      <c r="L386" t="s">
        <v>1467</v>
      </c>
      <c r="M386" t="s">
        <v>1468</v>
      </c>
      <c r="N386">
        <v>7</v>
      </c>
      <c r="O386">
        <v>142939.5</v>
      </c>
    </row>
    <row r="387" spans="1:15" x14ac:dyDescent="0.35">
      <c r="A387" t="s">
        <v>15</v>
      </c>
      <c r="B387" t="s">
        <v>69</v>
      </c>
      <c r="C387" t="s">
        <v>61</v>
      </c>
      <c r="D387" t="s">
        <v>1469</v>
      </c>
      <c r="E387" t="s">
        <v>248</v>
      </c>
      <c r="F387" t="s">
        <v>85</v>
      </c>
      <c r="G387" t="s">
        <v>249</v>
      </c>
      <c r="H387" t="s">
        <v>57</v>
      </c>
      <c r="I387" t="s">
        <v>61</v>
      </c>
      <c r="J387">
        <v>600</v>
      </c>
      <c r="K387" t="s">
        <v>960</v>
      </c>
      <c r="L387" t="s">
        <v>1470</v>
      </c>
      <c r="M387" t="s">
        <v>1471</v>
      </c>
      <c r="N387">
        <v>6</v>
      </c>
      <c r="O387">
        <v>100471</v>
      </c>
    </row>
    <row r="388" spans="1:15" x14ac:dyDescent="0.35">
      <c r="A388" t="s">
        <v>15</v>
      </c>
      <c r="B388" t="s">
        <v>16</v>
      </c>
      <c r="C388" t="s">
        <v>17</v>
      </c>
      <c r="D388" t="s">
        <v>1340</v>
      </c>
      <c r="E388" t="s">
        <v>1341</v>
      </c>
      <c r="F388" t="s">
        <v>39</v>
      </c>
      <c r="G388" t="s">
        <v>1342</v>
      </c>
      <c r="H388" t="s">
        <v>41</v>
      </c>
      <c r="I388" t="s">
        <v>58</v>
      </c>
      <c r="J388">
        <v>150</v>
      </c>
      <c r="K388" t="s">
        <v>58</v>
      </c>
      <c r="L388" t="s">
        <v>1472</v>
      </c>
      <c r="M388" t="s">
        <v>60</v>
      </c>
      <c r="O388">
        <v>173535.5</v>
      </c>
    </row>
    <row r="389" spans="1:15" x14ac:dyDescent="0.35">
      <c r="A389" t="s">
        <v>15</v>
      </c>
      <c r="B389" t="s">
        <v>16</v>
      </c>
      <c r="C389" t="s">
        <v>61</v>
      </c>
      <c r="D389" t="s">
        <v>1368</v>
      </c>
      <c r="E389" t="s">
        <v>618</v>
      </c>
      <c r="F389" t="s">
        <v>125</v>
      </c>
      <c r="G389" t="s">
        <v>90</v>
      </c>
      <c r="H389" t="s">
        <v>57</v>
      </c>
      <c r="I389" t="s">
        <v>58</v>
      </c>
      <c r="J389">
        <v>700</v>
      </c>
      <c r="K389" t="s">
        <v>58</v>
      </c>
      <c r="L389" t="s">
        <v>1473</v>
      </c>
      <c r="M389" t="s">
        <v>1370</v>
      </c>
      <c r="N389">
        <v>14</v>
      </c>
      <c r="O389">
        <v>197511.5</v>
      </c>
    </row>
    <row r="390" spans="1:15" x14ac:dyDescent="0.35">
      <c r="A390" t="s">
        <v>15</v>
      </c>
      <c r="B390" t="s">
        <v>16</v>
      </c>
      <c r="C390" t="s">
        <v>82</v>
      </c>
      <c r="D390" t="s">
        <v>1474</v>
      </c>
      <c r="E390" t="s">
        <v>1475</v>
      </c>
      <c r="F390" t="s">
        <v>125</v>
      </c>
      <c r="G390" t="s">
        <v>249</v>
      </c>
      <c r="H390" t="s">
        <v>41</v>
      </c>
      <c r="I390" t="s">
        <v>58</v>
      </c>
      <c r="J390">
        <v>210</v>
      </c>
      <c r="K390" t="s">
        <v>58</v>
      </c>
      <c r="L390" t="s">
        <v>1476</v>
      </c>
      <c r="M390" t="s">
        <v>60</v>
      </c>
      <c r="N390">
        <v>14</v>
      </c>
      <c r="O390">
        <v>187237</v>
      </c>
    </row>
    <row r="391" spans="1:15" x14ac:dyDescent="0.35">
      <c r="A391" t="s">
        <v>15</v>
      </c>
      <c r="B391" t="s">
        <v>16</v>
      </c>
      <c r="C391" t="s">
        <v>82</v>
      </c>
      <c r="D391" t="s">
        <v>1477</v>
      </c>
      <c r="E391" t="s">
        <v>462</v>
      </c>
      <c r="F391" t="s">
        <v>196</v>
      </c>
      <c r="G391" t="s">
        <v>1478</v>
      </c>
      <c r="H391" t="s">
        <v>115</v>
      </c>
      <c r="I391" t="s">
        <v>61</v>
      </c>
      <c r="J391" s="1">
        <v>120010</v>
      </c>
      <c r="K391" t="s">
        <v>960</v>
      </c>
      <c r="L391" t="s">
        <v>1479</v>
      </c>
      <c r="M391" t="s">
        <v>1480</v>
      </c>
      <c r="N391">
        <v>7</v>
      </c>
      <c r="O391">
        <v>159835</v>
      </c>
    </row>
    <row r="392" spans="1:15" x14ac:dyDescent="0.35">
      <c r="A392" t="s">
        <v>15</v>
      </c>
      <c r="B392" t="s">
        <v>27</v>
      </c>
      <c r="C392" t="s">
        <v>61</v>
      </c>
      <c r="D392" t="s">
        <v>168</v>
      </c>
      <c r="E392" t="s">
        <v>1481</v>
      </c>
      <c r="F392" t="s">
        <v>196</v>
      </c>
      <c r="G392" t="s">
        <v>169</v>
      </c>
      <c r="H392" t="s">
        <v>41</v>
      </c>
      <c r="I392" t="s">
        <v>23</v>
      </c>
      <c r="J392" s="1">
        <v>222040</v>
      </c>
      <c r="K392" t="s">
        <v>1482</v>
      </c>
      <c r="L392" t="s">
        <v>1483</v>
      </c>
      <c r="M392" t="s">
        <v>172</v>
      </c>
      <c r="N392">
        <v>7</v>
      </c>
      <c r="O392">
        <v>10053</v>
      </c>
    </row>
    <row r="393" spans="1:15" x14ac:dyDescent="0.35">
      <c r="A393" t="s">
        <v>15</v>
      </c>
      <c r="B393" t="s">
        <v>16</v>
      </c>
      <c r="C393" t="s">
        <v>17</v>
      </c>
      <c r="D393" t="s">
        <v>1484</v>
      </c>
      <c r="E393" t="s">
        <v>1485</v>
      </c>
      <c r="F393" t="s">
        <v>39</v>
      </c>
      <c r="G393" t="s">
        <v>102</v>
      </c>
      <c r="H393" t="s">
        <v>41</v>
      </c>
      <c r="I393" t="s">
        <v>58</v>
      </c>
      <c r="J393">
        <v>98</v>
      </c>
      <c r="K393" t="s">
        <v>58</v>
      </c>
      <c r="L393" t="s">
        <v>1486</v>
      </c>
      <c r="M393" t="s">
        <v>60</v>
      </c>
      <c r="O393">
        <v>137007</v>
      </c>
    </row>
    <row r="394" spans="1:15" x14ac:dyDescent="0.35">
      <c r="A394" t="s">
        <v>75</v>
      </c>
      <c r="B394" t="s">
        <v>16</v>
      </c>
      <c r="C394" t="s">
        <v>36</v>
      </c>
      <c r="D394" t="s">
        <v>214</v>
      </c>
      <c r="E394" t="s">
        <v>161</v>
      </c>
      <c r="F394" t="s">
        <v>39</v>
      </c>
      <c r="G394" t="s">
        <v>215</v>
      </c>
      <c r="H394" t="s">
        <v>41</v>
      </c>
      <c r="I394" t="s">
        <v>58</v>
      </c>
      <c r="J394" s="1">
        <v>26030</v>
      </c>
      <c r="K394" t="s">
        <v>58</v>
      </c>
      <c r="L394" t="s">
        <v>1487</v>
      </c>
      <c r="M394" t="s">
        <v>1488</v>
      </c>
      <c r="O394">
        <v>155274.5</v>
      </c>
    </row>
    <row r="395" spans="1:15" x14ac:dyDescent="0.35">
      <c r="A395" t="s">
        <v>75</v>
      </c>
      <c r="B395" t="s">
        <v>16</v>
      </c>
      <c r="C395" t="s">
        <v>17</v>
      </c>
      <c r="D395" t="s">
        <v>1489</v>
      </c>
      <c r="E395" t="s">
        <v>1490</v>
      </c>
      <c r="F395" t="s">
        <v>85</v>
      </c>
      <c r="G395" t="s">
        <v>90</v>
      </c>
      <c r="H395" t="s">
        <v>41</v>
      </c>
      <c r="I395" t="s">
        <v>58</v>
      </c>
      <c r="J395">
        <v>630</v>
      </c>
      <c r="K395" t="s">
        <v>1491</v>
      </c>
      <c r="L395" t="s">
        <v>1492</v>
      </c>
      <c r="M395" t="s">
        <v>60</v>
      </c>
      <c r="N395">
        <v>6</v>
      </c>
      <c r="O395">
        <v>98012</v>
      </c>
    </row>
    <row r="396" spans="1:15" x14ac:dyDescent="0.35">
      <c r="A396" t="s">
        <v>15</v>
      </c>
      <c r="B396" t="s">
        <v>16</v>
      </c>
      <c r="C396" t="s">
        <v>36</v>
      </c>
      <c r="D396" t="s">
        <v>762</v>
      </c>
      <c r="E396" t="s">
        <v>128</v>
      </c>
      <c r="F396" t="s">
        <v>125</v>
      </c>
      <c r="G396" t="s">
        <v>764</v>
      </c>
      <c r="H396" t="s">
        <v>115</v>
      </c>
      <c r="I396" t="s">
        <v>23</v>
      </c>
      <c r="J396" s="1">
        <v>37960</v>
      </c>
      <c r="K396" t="s">
        <v>23</v>
      </c>
      <c r="L396" t="s">
        <v>1493</v>
      </c>
      <c r="M396" t="s">
        <v>1494</v>
      </c>
      <c r="N396">
        <v>14</v>
      </c>
      <c r="O396">
        <v>31349</v>
      </c>
    </row>
    <row r="397" spans="1:15" x14ac:dyDescent="0.35">
      <c r="A397" t="s">
        <v>15</v>
      </c>
      <c r="B397" t="s">
        <v>16</v>
      </c>
      <c r="C397" t="s">
        <v>17</v>
      </c>
      <c r="D397" t="s">
        <v>1276</v>
      </c>
      <c r="E397" t="s">
        <v>1495</v>
      </c>
      <c r="F397" t="s">
        <v>85</v>
      </c>
      <c r="G397" t="s">
        <v>40</v>
      </c>
      <c r="H397" t="s">
        <v>41</v>
      </c>
      <c r="I397" t="s">
        <v>58</v>
      </c>
      <c r="J397">
        <v>600</v>
      </c>
      <c r="K397" t="s">
        <v>58</v>
      </c>
      <c r="L397" t="s">
        <v>1496</v>
      </c>
      <c r="M397" t="s">
        <v>60</v>
      </c>
      <c r="N397">
        <v>6</v>
      </c>
      <c r="O397">
        <v>220119</v>
      </c>
    </row>
    <row r="398" spans="1:15" x14ac:dyDescent="0.35">
      <c r="A398" t="s">
        <v>15</v>
      </c>
      <c r="B398" t="s">
        <v>16</v>
      </c>
      <c r="C398" t="s">
        <v>61</v>
      </c>
      <c r="D398" t="s">
        <v>1497</v>
      </c>
      <c r="E398" t="s">
        <v>1498</v>
      </c>
      <c r="F398" t="s">
        <v>196</v>
      </c>
      <c r="G398" t="s">
        <v>594</v>
      </c>
      <c r="H398" t="s">
        <v>156</v>
      </c>
      <c r="I398" t="s">
        <v>23</v>
      </c>
      <c r="J398" s="1">
        <v>12270</v>
      </c>
      <c r="K398" t="s">
        <v>1499</v>
      </c>
      <c r="L398" t="s">
        <v>1500</v>
      </c>
      <c r="M398" t="s">
        <v>1501</v>
      </c>
      <c r="N398">
        <v>7</v>
      </c>
      <c r="O398">
        <v>138373.5</v>
      </c>
    </row>
    <row r="399" spans="1:15" x14ac:dyDescent="0.35">
      <c r="A399" t="s">
        <v>75</v>
      </c>
      <c r="B399" t="s">
        <v>16</v>
      </c>
      <c r="C399" t="s">
        <v>17</v>
      </c>
      <c r="D399" t="s">
        <v>1320</v>
      </c>
      <c r="E399" t="s">
        <v>1502</v>
      </c>
      <c r="F399" t="s">
        <v>196</v>
      </c>
      <c r="G399" t="s">
        <v>1322</v>
      </c>
      <c r="H399" t="s">
        <v>115</v>
      </c>
      <c r="I399" t="s">
        <v>23</v>
      </c>
      <c r="J399" s="1">
        <v>22060</v>
      </c>
      <c r="K399" t="s">
        <v>23</v>
      </c>
      <c r="L399" t="s">
        <v>1503</v>
      </c>
      <c r="M399" t="s">
        <v>1504</v>
      </c>
      <c r="N399">
        <v>7</v>
      </c>
      <c r="O399">
        <v>120845</v>
      </c>
    </row>
    <row r="400" spans="1:15" x14ac:dyDescent="0.35">
      <c r="A400" t="s">
        <v>15</v>
      </c>
      <c r="B400" t="s">
        <v>27</v>
      </c>
      <c r="C400" t="s">
        <v>36</v>
      </c>
      <c r="D400" t="s">
        <v>485</v>
      </c>
      <c r="E400" t="s">
        <v>63</v>
      </c>
      <c r="F400" t="s">
        <v>399</v>
      </c>
      <c r="G400" t="s">
        <v>65</v>
      </c>
      <c r="H400" t="s">
        <v>22</v>
      </c>
      <c r="I400" t="s">
        <v>23</v>
      </c>
      <c r="J400" s="1">
        <v>130040</v>
      </c>
      <c r="K400" t="s">
        <v>1505</v>
      </c>
      <c r="L400" t="s">
        <v>835</v>
      </c>
      <c r="M400" t="s">
        <v>118</v>
      </c>
      <c r="N400">
        <v>5</v>
      </c>
      <c r="O400">
        <v>137000</v>
      </c>
    </row>
    <row r="401" spans="1:15" x14ac:dyDescent="0.35">
      <c r="A401" t="s">
        <v>15</v>
      </c>
      <c r="B401" t="s">
        <v>16</v>
      </c>
      <c r="C401" t="s">
        <v>36</v>
      </c>
      <c r="D401" t="s">
        <v>76</v>
      </c>
      <c r="E401" t="s">
        <v>1506</v>
      </c>
      <c r="F401" t="s">
        <v>196</v>
      </c>
      <c r="G401" t="s">
        <v>79</v>
      </c>
      <c r="H401" t="s">
        <v>41</v>
      </c>
      <c r="I401" t="s">
        <v>23</v>
      </c>
      <c r="J401">
        <v>900</v>
      </c>
      <c r="K401" t="s">
        <v>23</v>
      </c>
      <c r="L401" t="s">
        <v>1507</v>
      </c>
      <c r="M401" t="s">
        <v>1508</v>
      </c>
      <c r="N401">
        <v>7</v>
      </c>
      <c r="O401">
        <v>126955</v>
      </c>
    </row>
    <row r="402" spans="1:15" x14ac:dyDescent="0.35">
      <c r="A402" t="s">
        <v>15</v>
      </c>
      <c r="B402" t="s">
        <v>16</v>
      </c>
      <c r="C402" t="s">
        <v>36</v>
      </c>
      <c r="D402" t="s">
        <v>371</v>
      </c>
      <c r="E402" t="s">
        <v>1509</v>
      </c>
      <c r="F402" t="s">
        <v>89</v>
      </c>
      <c r="G402" t="s">
        <v>204</v>
      </c>
      <c r="H402" t="s">
        <v>22</v>
      </c>
      <c r="I402" t="s">
        <v>23</v>
      </c>
      <c r="J402" s="1">
        <v>865436</v>
      </c>
      <c r="K402" t="s">
        <v>1510</v>
      </c>
      <c r="L402" t="s">
        <v>1511</v>
      </c>
      <c r="M402" t="s">
        <v>1512</v>
      </c>
      <c r="O402">
        <v>166228</v>
      </c>
    </row>
    <row r="403" spans="1:15" x14ac:dyDescent="0.35">
      <c r="A403" t="s">
        <v>15</v>
      </c>
      <c r="B403" t="s">
        <v>16</v>
      </c>
      <c r="C403" t="s">
        <v>36</v>
      </c>
      <c r="D403" t="s">
        <v>1399</v>
      </c>
      <c r="E403" t="s">
        <v>1513</v>
      </c>
      <c r="F403" t="s">
        <v>113</v>
      </c>
      <c r="G403" t="s">
        <v>65</v>
      </c>
      <c r="H403" t="s">
        <v>41</v>
      </c>
      <c r="I403" t="s">
        <v>23</v>
      </c>
      <c r="J403" s="1">
        <v>26630</v>
      </c>
      <c r="K403" t="s">
        <v>23</v>
      </c>
      <c r="L403" t="s">
        <v>1514</v>
      </c>
      <c r="M403" t="s">
        <v>1515</v>
      </c>
      <c r="N403">
        <v>19</v>
      </c>
      <c r="O403">
        <v>143853.5</v>
      </c>
    </row>
    <row r="404" spans="1:15" x14ac:dyDescent="0.35">
      <c r="A404" t="s">
        <v>15</v>
      </c>
      <c r="B404" t="s">
        <v>99</v>
      </c>
      <c r="C404" t="s">
        <v>36</v>
      </c>
      <c r="D404" t="s">
        <v>650</v>
      </c>
      <c r="E404" t="s">
        <v>1516</v>
      </c>
      <c r="F404" t="s">
        <v>39</v>
      </c>
      <c r="G404" t="s">
        <v>95</v>
      </c>
      <c r="H404" t="s">
        <v>57</v>
      </c>
      <c r="I404" t="s">
        <v>23</v>
      </c>
      <c r="J404" s="1">
        <v>274280</v>
      </c>
      <c r="K404" t="s">
        <v>1517</v>
      </c>
      <c r="L404" t="s">
        <v>1518</v>
      </c>
      <c r="M404" t="s">
        <v>1519</v>
      </c>
      <c r="O404">
        <v>20926</v>
      </c>
    </row>
    <row r="405" spans="1:15" x14ac:dyDescent="0.35">
      <c r="A405" t="s">
        <v>15</v>
      </c>
      <c r="B405" t="s">
        <v>16</v>
      </c>
      <c r="C405" t="s">
        <v>82</v>
      </c>
      <c r="D405" t="s">
        <v>1477</v>
      </c>
      <c r="E405" t="s">
        <v>1520</v>
      </c>
      <c r="F405" t="s">
        <v>196</v>
      </c>
      <c r="G405" t="s">
        <v>1478</v>
      </c>
      <c r="H405" t="s">
        <v>115</v>
      </c>
      <c r="I405" t="s">
        <v>61</v>
      </c>
      <c r="J405" s="1">
        <v>120040</v>
      </c>
      <c r="K405" t="s">
        <v>960</v>
      </c>
      <c r="L405" t="s">
        <v>1521</v>
      </c>
      <c r="M405" t="s">
        <v>1480</v>
      </c>
      <c r="N405">
        <v>7</v>
      </c>
      <c r="O405">
        <v>159834</v>
      </c>
    </row>
    <row r="406" spans="1:15" x14ac:dyDescent="0.35">
      <c r="A406" t="s">
        <v>15</v>
      </c>
      <c r="B406" t="s">
        <v>16</v>
      </c>
      <c r="C406" t="s">
        <v>82</v>
      </c>
      <c r="D406" t="s">
        <v>384</v>
      </c>
      <c r="E406" t="s">
        <v>385</v>
      </c>
      <c r="F406" t="s">
        <v>125</v>
      </c>
      <c r="G406" t="s">
        <v>386</v>
      </c>
      <c r="H406" t="s">
        <v>41</v>
      </c>
      <c r="I406" t="s">
        <v>23</v>
      </c>
      <c r="J406" s="1">
        <v>108650</v>
      </c>
      <c r="K406" t="s">
        <v>1522</v>
      </c>
      <c r="L406" t="s">
        <v>1523</v>
      </c>
      <c r="M406" t="s">
        <v>81</v>
      </c>
      <c r="N406">
        <v>14</v>
      </c>
      <c r="O406">
        <v>116457</v>
      </c>
    </row>
    <row r="407" spans="1:15" x14ac:dyDescent="0.35">
      <c r="A407" t="s">
        <v>15</v>
      </c>
      <c r="B407" t="s">
        <v>16</v>
      </c>
      <c r="C407" t="s">
        <v>61</v>
      </c>
      <c r="D407" t="s">
        <v>609</v>
      </c>
      <c r="E407" t="s">
        <v>1524</v>
      </c>
      <c r="F407" t="s">
        <v>312</v>
      </c>
      <c r="G407" t="s">
        <v>610</v>
      </c>
      <c r="H407" t="s">
        <v>115</v>
      </c>
      <c r="I407" t="s">
        <v>58</v>
      </c>
      <c r="J407" s="1">
        <v>76010</v>
      </c>
      <c r="K407" t="s">
        <v>58</v>
      </c>
      <c r="L407" t="s">
        <v>1525</v>
      </c>
      <c r="M407" t="s">
        <v>1526</v>
      </c>
      <c r="N407">
        <v>4</v>
      </c>
      <c r="O407">
        <v>83056.5</v>
      </c>
    </row>
    <row r="408" spans="1:15" x14ac:dyDescent="0.35">
      <c r="A408" t="s">
        <v>15</v>
      </c>
      <c r="B408" t="s">
        <v>16</v>
      </c>
      <c r="C408" t="s">
        <v>17</v>
      </c>
      <c r="D408" t="s">
        <v>1527</v>
      </c>
      <c r="E408" t="s">
        <v>1528</v>
      </c>
      <c r="F408" t="s">
        <v>39</v>
      </c>
      <c r="G408" t="s">
        <v>1529</v>
      </c>
      <c r="H408" t="s">
        <v>115</v>
      </c>
      <c r="I408" t="s">
        <v>58</v>
      </c>
      <c r="J408">
        <v>240</v>
      </c>
      <c r="K408" t="s">
        <v>58</v>
      </c>
      <c r="L408" t="s">
        <v>1530</v>
      </c>
      <c r="M408" t="s">
        <v>60</v>
      </c>
      <c r="O408">
        <v>146140</v>
      </c>
    </row>
    <row r="409" spans="1:15" x14ac:dyDescent="0.35">
      <c r="A409" t="s">
        <v>15</v>
      </c>
      <c r="B409" t="s">
        <v>16</v>
      </c>
      <c r="C409" t="s">
        <v>61</v>
      </c>
      <c r="D409" t="s">
        <v>1531</v>
      </c>
      <c r="E409" t="s">
        <v>743</v>
      </c>
      <c r="F409" t="s">
        <v>431</v>
      </c>
      <c r="G409" t="s">
        <v>412</v>
      </c>
      <c r="H409" t="s">
        <v>41</v>
      </c>
      <c r="I409" t="s">
        <v>23</v>
      </c>
      <c r="J409" s="1">
        <v>17040</v>
      </c>
      <c r="K409" t="s">
        <v>1532</v>
      </c>
      <c r="L409" t="s">
        <v>1533</v>
      </c>
      <c r="M409" t="s">
        <v>206</v>
      </c>
      <c r="N409">
        <v>21</v>
      </c>
      <c r="O409">
        <v>168973</v>
      </c>
    </row>
    <row r="410" spans="1:15" x14ac:dyDescent="0.35">
      <c r="A410" t="s">
        <v>15</v>
      </c>
      <c r="B410" t="s">
        <v>52</v>
      </c>
      <c r="C410" t="s">
        <v>82</v>
      </c>
      <c r="D410" t="s">
        <v>1534</v>
      </c>
      <c r="E410" t="s">
        <v>84</v>
      </c>
      <c r="F410" t="s">
        <v>399</v>
      </c>
      <c r="G410" t="s">
        <v>90</v>
      </c>
      <c r="H410" t="s">
        <v>57</v>
      </c>
      <c r="I410" t="s">
        <v>58</v>
      </c>
      <c r="J410">
        <v>457</v>
      </c>
      <c r="K410" t="s">
        <v>58</v>
      </c>
      <c r="L410" t="s">
        <v>1535</v>
      </c>
      <c r="M410" t="s">
        <v>60</v>
      </c>
      <c r="N410">
        <v>5</v>
      </c>
      <c r="O410">
        <v>133808</v>
      </c>
    </row>
    <row r="411" spans="1:15" x14ac:dyDescent="0.35">
      <c r="A411" t="s">
        <v>15</v>
      </c>
      <c r="B411" t="s">
        <v>27</v>
      </c>
      <c r="C411" t="s">
        <v>17</v>
      </c>
      <c r="D411" t="s">
        <v>1536</v>
      </c>
      <c r="E411" t="s">
        <v>1537</v>
      </c>
      <c r="F411" t="s">
        <v>125</v>
      </c>
      <c r="G411" t="s">
        <v>1538</v>
      </c>
      <c r="H411" t="s">
        <v>156</v>
      </c>
      <c r="I411" t="s">
        <v>58</v>
      </c>
      <c r="J411">
        <v>240</v>
      </c>
      <c r="K411" t="s">
        <v>58</v>
      </c>
      <c r="L411" t="s">
        <v>1539</v>
      </c>
      <c r="M411" t="s">
        <v>60</v>
      </c>
      <c r="N411">
        <v>14</v>
      </c>
      <c r="O411">
        <v>137006.5</v>
      </c>
    </row>
    <row r="412" spans="1:15" x14ac:dyDescent="0.35">
      <c r="A412" t="s">
        <v>15</v>
      </c>
      <c r="B412" t="s">
        <v>16</v>
      </c>
      <c r="C412" t="s">
        <v>17</v>
      </c>
      <c r="D412" t="s">
        <v>1068</v>
      </c>
      <c r="E412" t="s">
        <v>1540</v>
      </c>
      <c r="F412" t="s">
        <v>39</v>
      </c>
      <c r="G412" t="s">
        <v>594</v>
      </c>
      <c r="H412" t="s">
        <v>57</v>
      </c>
      <c r="I412" t="s">
        <v>23</v>
      </c>
      <c r="J412" s="1">
        <v>29490</v>
      </c>
      <c r="K412" t="s">
        <v>23</v>
      </c>
      <c r="L412" t="s">
        <v>1541</v>
      </c>
      <c r="M412" t="s">
        <v>200</v>
      </c>
      <c r="O412">
        <v>73454</v>
      </c>
    </row>
    <row r="413" spans="1:15" x14ac:dyDescent="0.35">
      <c r="A413" t="s">
        <v>15</v>
      </c>
      <c r="B413" t="s">
        <v>99</v>
      </c>
      <c r="C413" t="s">
        <v>61</v>
      </c>
      <c r="D413" t="s">
        <v>579</v>
      </c>
      <c r="E413" t="s">
        <v>1542</v>
      </c>
      <c r="F413" t="s">
        <v>39</v>
      </c>
      <c r="G413" t="s">
        <v>580</v>
      </c>
      <c r="H413" t="s">
        <v>41</v>
      </c>
      <c r="I413" t="s">
        <v>23</v>
      </c>
      <c r="J413" s="1">
        <v>27420</v>
      </c>
      <c r="K413" t="s">
        <v>23</v>
      </c>
      <c r="L413" t="s">
        <v>1543</v>
      </c>
      <c r="M413" t="s">
        <v>1544</v>
      </c>
      <c r="O413">
        <v>115011.5</v>
      </c>
    </row>
    <row r="414" spans="1:15" x14ac:dyDescent="0.35">
      <c r="A414" t="s">
        <v>15</v>
      </c>
      <c r="B414" t="s">
        <v>16</v>
      </c>
      <c r="C414" t="s">
        <v>82</v>
      </c>
      <c r="D414" t="s">
        <v>1157</v>
      </c>
      <c r="E414" t="s">
        <v>84</v>
      </c>
      <c r="F414" t="s">
        <v>113</v>
      </c>
      <c r="G414" t="s">
        <v>90</v>
      </c>
      <c r="H414" t="s">
        <v>41</v>
      </c>
      <c r="I414" t="s">
        <v>58</v>
      </c>
      <c r="J414">
        <v>45</v>
      </c>
      <c r="K414" t="s">
        <v>58</v>
      </c>
      <c r="L414" t="s">
        <v>1545</v>
      </c>
      <c r="M414" t="s">
        <v>60</v>
      </c>
      <c r="N414">
        <v>19</v>
      </c>
      <c r="O414">
        <v>166682.5</v>
      </c>
    </row>
    <row r="415" spans="1:15" x14ac:dyDescent="0.35">
      <c r="A415" t="s">
        <v>15</v>
      </c>
      <c r="B415" t="s">
        <v>16</v>
      </c>
      <c r="C415" t="s">
        <v>36</v>
      </c>
      <c r="D415" t="s">
        <v>831</v>
      </c>
      <c r="E415" t="s">
        <v>1546</v>
      </c>
      <c r="F415" t="s">
        <v>125</v>
      </c>
      <c r="G415" t="s">
        <v>90</v>
      </c>
      <c r="H415" t="s">
        <v>41</v>
      </c>
      <c r="I415" t="s">
        <v>23</v>
      </c>
      <c r="J415" s="1">
        <v>65810</v>
      </c>
      <c r="K415" t="s">
        <v>832</v>
      </c>
      <c r="L415" t="s">
        <v>1547</v>
      </c>
      <c r="M415" t="s">
        <v>51</v>
      </c>
      <c r="N415">
        <v>14</v>
      </c>
      <c r="O415">
        <v>170618</v>
      </c>
    </row>
    <row r="416" spans="1:15" x14ac:dyDescent="0.35">
      <c r="A416" t="s">
        <v>15</v>
      </c>
      <c r="B416" t="s">
        <v>16</v>
      </c>
      <c r="C416" t="s">
        <v>17</v>
      </c>
      <c r="D416" t="s">
        <v>1548</v>
      </c>
      <c r="E416" t="s">
        <v>1549</v>
      </c>
      <c r="F416" t="s">
        <v>847</v>
      </c>
      <c r="G416" t="s">
        <v>1550</v>
      </c>
      <c r="H416" t="s">
        <v>115</v>
      </c>
      <c r="I416" t="s">
        <v>23</v>
      </c>
      <c r="J416" s="1">
        <v>107710</v>
      </c>
      <c r="K416" t="s">
        <v>1551</v>
      </c>
      <c r="L416" t="s">
        <v>1552</v>
      </c>
      <c r="M416" t="s">
        <v>189</v>
      </c>
      <c r="N416">
        <v>16</v>
      </c>
      <c r="O416">
        <v>79461</v>
      </c>
    </row>
    <row r="417" spans="1:15" x14ac:dyDescent="0.35">
      <c r="A417" t="s">
        <v>15</v>
      </c>
      <c r="B417" t="s">
        <v>99</v>
      </c>
      <c r="C417" t="s">
        <v>36</v>
      </c>
      <c r="D417" t="s">
        <v>574</v>
      </c>
      <c r="E417" t="s">
        <v>575</v>
      </c>
      <c r="F417" t="s">
        <v>203</v>
      </c>
      <c r="G417" t="s">
        <v>576</v>
      </c>
      <c r="H417" t="s">
        <v>115</v>
      </c>
      <c r="I417" t="s">
        <v>23</v>
      </c>
      <c r="J417" s="1">
        <v>78700</v>
      </c>
      <c r="K417" t="s">
        <v>661</v>
      </c>
      <c r="L417" t="s">
        <v>1553</v>
      </c>
      <c r="M417" t="s">
        <v>256</v>
      </c>
      <c r="N417">
        <v>25</v>
      </c>
      <c r="O417">
        <v>203038</v>
      </c>
    </row>
    <row r="418" spans="1:15" x14ac:dyDescent="0.35">
      <c r="A418" t="s">
        <v>15</v>
      </c>
      <c r="B418" t="s">
        <v>16</v>
      </c>
      <c r="C418" t="s">
        <v>17</v>
      </c>
      <c r="D418" t="s">
        <v>476</v>
      </c>
      <c r="E418" t="s">
        <v>477</v>
      </c>
      <c r="F418" t="s">
        <v>196</v>
      </c>
      <c r="G418" t="s">
        <v>229</v>
      </c>
      <c r="H418" t="s">
        <v>57</v>
      </c>
      <c r="I418" t="s">
        <v>23</v>
      </c>
      <c r="J418" s="1">
        <v>9900</v>
      </c>
      <c r="K418" t="s">
        <v>23</v>
      </c>
      <c r="L418" t="s">
        <v>1554</v>
      </c>
      <c r="M418" t="s">
        <v>1555</v>
      </c>
      <c r="N418">
        <v>7</v>
      </c>
      <c r="O418">
        <v>15539</v>
      </c>
    </row>
    <row r="419" spans="1:15" x14ac:dyDescent="0.35">
      <c r="A419" t="s">
        <v>15</v>
      </c>
      <c r="B419" t="s">
        <v>99</v>
      </c>
      <c r="C419" t="s">
        <v>36</v>
      </c>
      <c r="D419" t="s">
        <v>694</v>
      </c>
      <c r="E419" t="s">
        <v>1022</v>
      </c>
      <c r="F419" t="s">
        <v>399</v>
      </c>
      <c r="G419" t="s">
        <v>580</v>
      </c>
      <c r="H419" t="s">
        <v>41</v>
      </c>
      <c r="I419" t="s">
        <v>23</v>
      </c>
      <c r="J419" s="1">
        <v>26060</v>
      </c>
      <c r="K419" t="s">
        <v>1556</v>
      </c>
      <c r="L419" t="s">
        <v>1557</v>
      </c>
      <c r="M419" t="s">
        <v>189</v>
      </c>
      <c r="N419">
        <v>5</v>
      </c>
      <c r="O419">
        <v>164407</v>
      </c>
    </row>
    <row r="420" spans="1:15" x14ac:dyDescent="0.35">
      <c r="A420" t="s">
        <v>15</v>
      </c>
      <c r="B420" t="s">
        <v>99</v>
      </c>
      <c r="C420" t="s">
        <v>17</v>
      </c>
      <c r="D420" t="s">
        <v>1432</v>
      </c>
      <c r="E420" t="s">
        <v>1502</v>
      </c>
      <c r="F420" t="s">
        <v>39</v>
      </c>
      <c r="G420" t="s">
        <v>1183</v>
      </c>
      <c r="H420" t="s">
        <v>73</v>
      </c>
      <c r="I420" t="s">
        <v>61</v>
      </c>
      <c r="J420" s="1">
        <v>12659</v>
      </c>
      <c r="K420" t="s">
        <v>73</v>
      </c>
      <c r="L420" t="s">
        <v>1558</v>
      </c>
      <c r="M420" t="s">
        <v>1559</v>
      </c>
      <c r="O420">
        <v>51940</v>
      </c>
    </row>
    <row r="421" spans="1:15" x14ac:dyDescent="0.35">
      <c r="A421" t="s">
        <v>15</v>
      </c>
      <c r="B421" t="s">
        <v>16</v>
      </c>
      <c r="C421" t="s">
        <v>36</v>
      </c>
      <c r="D421" t="s">
        <v>1458</v>
      </c>
      <c r="E421" t="s">
        <v>54</v>
      </c>
      <c r="F421" t="s">
        <v>341</v>
      </c>
      <c r="G421" t="s">
        <v>1459</v>
      </c>
      <c r="H421" t="s">
        <v>41</v>
      </c>
      <c r="I421" t="s">
        <v>23</v>
      </c>
      <c r="J421" s="1">
        <v>2300</v>
      </c>
      <c r="K421" t="s">
        <v>23</v>
      </c>
      <c r="L421" t="s">
        <v>1560</v>
      </c>
      <c r="M421" t="s">
        <v>60</v>
      </c>
      <c r="N421">
        <v>2</v>
      </c>
      <c r="O421">
        <v>215046.5</v>
      </c>
    </row>
    <row r="422" spans="1:15" x14ac:dyDescent="0.35">
      <c r="A422" t="s">
        <v>15</v>
      </c>
      <c r="B422" t="s">
        <v>52</v>
      </c>
      <c r="C422" t="s">
        <v>17</v>
      </c>
      <c r="D422" t="s">
        <v>1561</v>
      </c>
      <c r="E422" t="s">
        <v>1562</v>
      </c>
      <c r="F422" t="s">
        <v>1167</v>
      </c>
      <c r="G422" t="s">
        <v>1563</v>
      </c>
      <c r="H422" t="s">
        <v>41</v>
      </c>
      <c r="I422" t="s">
        <v>58</v>
      </c>
      <c r="J422" s="1">
        <v>3570</v>
      </c>
      <c r="K422" t="s">
        <v>58</v>
      </c>
      <c r="L422" t="s">
        <v>1564</v>
      </c>
      <c r="M422" t="s">
        <v>60</v>
      </c>
      <c r="N422">
        <v>10</v>
      </c>
      <c r="O422">
        <v>34569</v>
      </c>
    </row>
    <row r="423" spans="1:15" x14ac:dyDescent="0.35">
      <c r="A423" t="s">
        <v>15</v>
      </c>
      <c r="B423" t="s">
        <v>16</v>
      </c>
      <c r="C423" t="s">
        <v>61</v>
      </c>
      <c r="D423" t="s">
        <v>429</v>
      </c>
      <c r="E423" t="s">
        <v>1565</v>
      </c>
      <c r="F423" t="s">
        <v>125</v>
      </c>
      <c r="G423" t="s">
        <v>432</v>
      </c>
      <c r="H423" t="s">
        <v>41</v>
      </c>
      <c r="I423" t="s">
        <v>23</v>
      </c>
      <c r="J423" s="1">
        <v>24800</v>
      </c>
      <c r="K423" t="s">
        <v>1566</v>
      </c>
      <c r="L423" t="s">
        <v>1567</v>
      </c>
      <c r="M423" t="s">
        <v>60</v>
      </c>
      <c r="N423">
        <v>14</v>
      </c>
      <c r="O423">
        <v>82367</v>
      </c>
    </row>
    <row r="424" spans="1:15" x14ac:dyDescent="0.35">
      <c r="A424" t="s">
        <v>15</v>
      </c>
      <c r="B424" t="s">
        <v>16</v>
      </c>
      <c r="C424" t="s">
        <v>61</v>
      </c>
      <c r="D424" t="s">
        <v>1568</v>
      </c>
      <c r="E424" t="s">
        <v>583</v>
      </c>
      <c r="F424" t="s">
        <v>125</v>
      </c>
      <c r="G424" t="s">
        <v>584</v>
      </c>
      <c r="H424" t="s">
        <v>22</v>
      </c>
      <c r="I424" t="s">
        <v>58</v>
      </c>
      <c r="J424" s="1">
        <v>23910</v>
      </c>
      <c r="K424" t="s">
        <v>58</v>
      </c>
      <c r="L424" t="s">
        <v>1569</v>
      </c>
      <c r="M424" t="s">
        <v>1570</v>
      </c>
      <c r="N424">
        <v>14</v>
      </c>
      <c r="O424">
        <v>130610</v>
      </c>
    </row>
    <row r="425" spans="1:15" x14ac:dyDescent="0.35">
      <c r="A425" t="s">
        <v>15</v>
      </c>
      <c r="B425" t="s">
        <v>27</v>
      </c>
      <c r="C425" t="s">
        <v>36</v>
      </c>
      <c r="D425" t="s">
        <v>1571</v>
      </c>
      <c r="E425" t="s">
        <v>1572</v>
      </c>
      <c r="F425" t="s">
        <v>39</v>
      </c>
      <c r="G425" t="s">
        <v>647</v>
      </c>
      <c r="H425" t="s">
        <v>41</v>
      </c>
      <c r="I425" t="s">
        <v>58</v>
      </c>
      <c r="J425" s="1">
        <v>4570</v>
      </c>
      <c r="K425" t="s">
        <v>58</v>
      </c>
      <c r="L425" t="s">
        <v>1573</v>
      </c>
      <c r="M425" t="s">
        <v>60</v>
      </c>
      <c r="O425">
        <v>54267</v>
      </c>
    </row>
    <row r="426" spans="1:15" x14ac:dyDescent="0.35">
      <c r="A426" t="s">
        <v>15</v>
      </c>
      <c r="B426" t="s">
        <v>16</v>
      </c>
      <c r="C426" t="s">
        <v>61</v>
      </c>
      <c r="D426" t="s">
        <v>742</v>
      </c>
      <c r="E426" t="s">
        <v>688</v>
      </c>
      <c r="F426" t="s">
        <v>312</v>
      </c>
      <c r="G426" t="s">
        <v>744</v>
      </c>
      <c r="H426" t="s">
        <v>41</v>
      </c>
      <c r="I426" t="s">
        <v>23</v>
      </c>
      <c r="J426" s="1">
        <v>182288</v>
      </c>
      <c r="K426" t="s">
        <v>1574</v>
      </c>
      <c r="L426" t="s">
        <v>1575</v>
      </c>
      <c r="M426" t="s">
        <v>1576</v>
      </c>
      <c r="N426">
        <v>4</v>
      </c>
      <c r="O426">
        <v>48604</v>
      </c>
    </row>
    <row r="427" spans="1:15" x14ac:dyDescent="0.35">
      <c r="A427" t="s">
        <v>15</v>
      </c>
      <c r="B427" t="s">
        <v>16</v>
      </c>
      <c r="C427" t="s">
        <v>82</v>
      </c>
      <c r="D427" t="s">
        <v>124</v>
      </c>
      <c r="E427" t="s">
        <v>354</v>
      </c>
      <c r="F427" t="s">
        <v>125</v>
      </c>
      <c r="G427" t="s">
        <v>90</v>
      </c>
      <c r="H427" t="s">
        <v>57</v>
      </c>
      <c r="I427" t="s">
        <v>58</v>
      </c>
      <c r="J427">
        <v>300</v>
      </c>
      <c r="K427" t="s">
        <v>58</v>
      </c>
      <c r="L427" t="s">
        <v>1577</v>
      </c>
      <c r="M427" t="s">
        <v>60</v>
      </c>
      <c r="N427">
        <v>14</v>
      </c>
      <c r="O427">
        <v>167139</v>
      </c>
    </row>
    <row r="428" spans="1:15" x14ac:dyDescent="0.35">
      <c r="A428" t="s">
        <v>15</v>
      </c>
      <c r="B428" t="s">
        <v>27</v>
      </c>
      <c r="C428" t="s">
        <v>17</v>
      </c>
      <c r="D428" t="s">
        <v>1561</v>
      </c>
      <c r="E428" t="s">
        <v>1562</v>
      </c>
      <c r="F428" t="s">
        <v>39</v>
      </c>
      <c r="G428" t="s">
        <v>1563</v>
      </c>
      <c r="H428" t="s">
        <v>41</v>
      </c>
      <c r="I428" t="s">
        <v>58</v>
      </c>
      <c r="J428" s="1">
        <v>3560</v>
      </c>
      <c r="K428" t="s">
        <v>58</v>
      </c>
      <c r="L428" t="s">
        <v>1578</v>
      </c>
      <c r="M428" t="s">
        <v>60</v>
      </c>
      <c r="O428">
        <v>34568</v>
      </c>
    </row>
    <row r="429" spans="1:15" x14ac:dyDescent="0.35">
      <c r="A429" t="s">
        <v>15</v>
      </c>
      <c r="B429" t="s">
        <v>16</v>
      </c>
      <c r="C429" t="s">
        <v>61</v>
      </c>
      <c r="D429" t="s">
        <v>1324</v>
      </c>
      <c r="E429" t="s">
        <v>165</v>
      </c>
      <c r="F429" t="s">
        <v>244</v>
      </c>
      <c r="G429" t="s">
        <v>90</v>
      </c>
      <c r="H429" t="s">
        <v>57</v>
      </c>
      <c r="I429" t="s">
        <v>58</v>
      </c>
      <c r="J429">
        <v>90</v>
      </c>
      <c r="K429" t="s">
        <v>58</v>
      </c>
      <c r="L429" t="s">
        <v>1325</v>
      </c>
      <c r="M429" t="s">
        <v>1326</v>
      </c>
      <c r="N429">
        <v>2</v>
      </c>
      <c r="O429">
        <v>232902</v>
      </c>
    </row>
    <row r="430" spans="1:15" x14ac:dyDescent="0.35">
      <c r="A430" t="s">
        <v>15</v>
      </c>
      <c r="B430" t="s">
        <v>27</v>
      </c>
      <c r="C430" t="s">
        <v>82</v>
      </c>
      <c r="D430" t="s">
        <v>1579</v>
      </c>
      <c r="E430" t="s">
        <v>1580</v>
      </c>
      <c r="F430" t="s">
        <v>64</v>
      </c>
      <c r="G430" t="s">
        <v>594</v>
      </c>
      <c r="H430" t="s">
        <v>41</v>
      </c>
      <c r="I430" t="s">
        <v>58</v>
      </c>
      <c r="J430" s="1">
        <v>1530</v>
      </c>
      <c r="K430" t="s">
        <v>1581</v>
      </c>
      <c r="L430" t="s">
        <v>1582</v>
      </c>
      <c r="M430" t="s">
        <v>60</v>
      </c>
      <c r="N430">
        <v>3</v>
      </c>
      <c r="O430">
        <v>95900</v>
      </c>
    </row>
    <row r="431" spans="1:15" x14ac:dyDescent="0.35">
      <c r="A431" t="s">
        <v>15</v>
      </c>
      <c r="B431" t="s">
        <v>16</v>
      </c>
      <c r="C431" t="s">
        <v>61</v>
      </c>
      <c r="D431" t="s">
        <v>339</v>
      </c>
      <c r="E431" t="s">
        <v>1583</v>
      </c>
      <c r="F431" t="s">
        <v>125</v>
      </c>
      <c r="G431" t="s">
        <v>342</v>
      </c>
      <c r="H431" t="s">
        <v>41</v>
      </c>
      <c r="I431" t="s">
        <v>23</v>
      </c>
      <c r="J431" s="1">
        <v>187570</v>
      </c>
      <c r="K431" t="s">
        <v>1584</v>
      </c>
      <c r="L431" t="s">
        <v>1585</v>
      </c>
      <c r="M431" t="s">
        <v>1586</v>
      </c>
      <c r="N431">
        <v>14</v>
      </c>
      <c r="O431">
        <v>107773</v>
      </c>
    </row>
    <row r="432" spans="1:15" x14ac:dyDescent="0.35">
      <c r="A432" t="s">
        <v>15</v>
      </c>
      <c r="B432" t="s">
        <v>16</v>
      </c>
      <c r="C432" t="s">
        <v>61</v>
      </c>
      <c r="D432" t="s">
        <v>1587</v>
      </c>
      <c r="E432" t="s">
        <v>1588</v>
      </c>
      <c r="F432" t="s">
        <v>196</v>
      </c>
      <c r="G432" t="s">
        <v>1589</v>
      </c>
      <c r="H432" t="s">
        <v>41</v>
      </c>
      <c r="I432" t="s">
        <v>23</v>
      </c>
      <c r="J432" s="1">
        <v>4780</v>
      </c>
      <c r="K432" t="s">
        <v>23</v>
      </c>
      <c r="L432" t="s">
        <v>1590</v>
      </c>
      <c r="M432" t="s">
        <v>81</v>
      </c>
      <c r="N432">
        <v>7</v>
      </c>
      <c r="O432">
        <v>114172</v>
      </c>
    </row>
    <row r="433" spans="1:15" x14ac:dyDescent="0.35">
      <c r="A433" t="s">
        <v>15</v>
      </c>
      <c r="B433" t="s">
        <v>16</v>
      </c>
      <c r="C433" t="s">
        <v>36</v>
      </c>
      <c r="D433" t="s">
        <v>1591</v>
      </c>
      <c r="E433" t="s">
        <v>1592</v>
      </c>
      <c r="F433" t="s">
        <v>39</v>
      </c>
      <c r="G433" t="s">
        <v>1593</v>
      </c>
      <c r="H433" t="s">
        <v>22</v>
      </c>
      <c r="I433" t="s">
        <v>23</v>
      </c>
      <c r="J433" s="1">
        <v>11020</v>
      </c>
      <c r="K433" t="s">
        <v>23</v>
      </c>
      <c r="L433" t="s">
        <v>1594</v>
      </c>
      <c r="M433" t="s">
        <v>1595</v>
      </c>
      <c r="O433">
        <v>129379.5</v>
      </c>
    </row>
    <row r="434" spans="1:15" x14ac:dyDescent="0.35">
      <c r="A434" t="s">
        <v>15</v>
      </c>
      <c r="B434" t="s">
        <v>16</v>
      </c>
      <c r="C434" t="s">
        <v>36</v>
      </c>
      <c r="D434" t="s">
        <v>1338</v>
      </c>
      <c r="E434" t="s">
        <v>626</v>
      </c>
      <c r="F434" t="s">
        <v>939</v>
      </c>
      <c r="G434" t="s">
        <v>90</v>
      </c>
      <c r="H434" t="s">
        <v>41</v>
      </c>
      <c r="I434" t="s">
        <v>58</v>
      </c>
      <c r="J434">
        <v>90</v>
      </c>
      <c r="K434" t="s">
        <v>58</v>
      </c>
      <c r="L434" t="s">
        <v>1596</v>
      </c>
      <c r="M434" t="s">
        <v>60</v>
      </c>
      <c r="N434">
        <v>4</v>
      </c>
      <c r="O434">
        <v>172622.5</v>
      </c>
    </row>
    <row r="435" spans="1:15" x14ac:dyDescent="0.35">
      <c r="A435" t="s">
        <v>15</v>
      </c>
      <c r="B435" t="s">
        <v>16</v>
      </c>
      <c r="C435" t="s">
        <v>17</v>
      </c>
      <c r="D435" t="s">
        <v>1597</v>
      </c>
      <c r="E435" t="s">
        <v>1598</v>
      </c>
      <c r="F435" t="s">
        <v>78</v>
      </c>
      <c r="G435" t="s">
        <v>412</v>
      </c>
      <c r="H435" t="s">
        <v>41</v>
      </c>
      <c r="I435" t="s">
        <v>58</v>
      </c>
      <c r="J435" s="1">
        <v>2810</v>
      </c>
      <c r="K435" t="s">
        <v>58</v>
      </c>
      <c r="L435" t="s">
        <v>1599</v>
      </c>
      <c r="M435" t="s">
        <v>60</v>
      </c>
      <c r="N435">
        <v>9</v>
      </c>
      <c r="O435">
        <v>226506</v>
      </c>
    </row>
    <row r="436" spans="1:15" x14ac:dyDescent="0.35">
      <c r="A436" t="s">
        <v>15</v>
      </c>
      <c r="B436" t="s">
        <v>16</v>
      </c>
      <c r="C436" t="s">
        <v>17</v>
      </c>
      <c r="D436" t="s">
        <v>1600</v>
      </c>
      <c r="E436" t="s">
        <v>1601</v>
      </c>
      <c r="F436" t="s">
        <v>431</v>
      </c>
      <c r="G436" t="s">
        <v>1236</v>
      </c>
      <c r="H436" t="s">
        <v>41</v>
      </c>
      <c r="I436" t="s">
        <v>58</v>
      </c>
      <c r="J436" s="1">
        <v>263610</v>
      </c>
      <c r="K436" t="s">
        <v>1602</v>
      </c>
      <c r="L436" t="s">
        <v>1603</v>
      </c>
      <c r="M436" t="s">
        <v>1604</v>
      </c>
      <c r="N436">
        <v>21</v>
      </c>
      <c r="O436">
        <v>32158</v>
      </c>
    </row>
    <row r="437" spans="1:15" x14ac:dyDescent="0.35">
      <c r="A437" t="s">
        <v>15</v>
      </c>
      <c r="B437" t="s">
        <v>16</v>
      </c>
      <c r="C437" t="s">
        <v>17</v>
      </c>
      <c r="D437" t="s">
        <v>1605</v>
      </c>
      <c r="E437" t="s">
        <v>1606</v>
      </c>
      <c r="F437" t="s">
        <v>139</v>
      </c>
      <c r="G437" t="s">
        <v>229</v>
      </c>
      <c r="H437" t="s">
        <v>41</v>
      </c>
      <c r="I437" t="s">
        <v>58</v>
      </c>
      <c r="J437">
        <v>420</v>
      </c>
      <c r="K437" t="s">
        <v>58</v>
      </c>
      <c r="L437" t="s">
        <v>1607</v>
      </c>
      <c r="M437" t="s">
        <v>60</v>
      </c>
      <c r="N437">
        <v>13</v>
      </c>
      <c r="O437">
        <v>182674</v>
      </c>
    </row>
    <row r="438" spans="1:15" x14ac:dyDescent="0.35">
      <c r="A438" t="s">
        <v>15</v>
      </c>
      <c r="B438" t="s">
        <v>27</v>
      </c>
      <c r="C438" t="s">
        <v>36</v>
      </c>
      <c r="D438" t="s">
        <v>582</v>
      </c>
      <c r="E438" t="s">
        <v>583</v>
      </c>
      <c r="F438" t="s">
        <v>196</v>
      </c>
      <c r="G438" t="s">
        <v>584</v>
      </c>
      <c r="H438" t="s">
        <v>57</v>
      </c>
      <c r="I438" t="s">
        <v>58</v>
      </c>
      <c r="J438" s="1">
        <v>33010</v>
      </c>
      <c r="K438" t="s">
        <v>58</v>
      </c>
      <c r="L438" t="s">
        <v>1608</v>
      </c>
      <c r="M438" t="s">
        <v>1609</v>
      </c>
      <c r="N438">
        <v>7</v>
      </c>
      <c r="O438">
        <v>219080.5</v>
      </c>
    </row>
    <row r="439" spans="1:15" x14ac:dyDescent="0.35">
      <c r="A439" t="s">
        <v>15</v>
      </c>
      <c r="B439" t="s">
        <v>27</v>
      </c>
      <c r="C439" t="s">
        <v>36</v>
      </c>
      <c r="D439" t="s">
        <v>1610</v>
      </c>
      <c r="E439" t="s">
        <v>165</v>
      </c>
      <c r="F439" t="s">
        <v>196</v>
      </c>
      <c r="G439" t="s">
        <v>90</v>
      </c>
      <c r="H439" t="s">
        <v>41</v>
      </c>
      <c r="I439" t="s">
        <v>58</v>
      </c>
      <c r="J439">
        <v>45</v>
      </c>
      <c r="K439" t="s">
        <v>58</v>
      </c>
      <c r="L439" t="s">
        <v>1611</v>
      </c>
      <c r="M439" t="s">
        <v>1612</v>
      </c>
      <c r="N439">
        <v>7</v>
      </c>
      <c r="O439">
        <v>178106.5</v>
      </c>
    </row>
    <row r="440" spans="1:15" x14ac:dyDescent="0.35">
      <c r="A440" t="s">
        <v>15</v>
      </c>
      <c r="B440" t="s">
        <v>16</v>
      </c>
      <c r="C440" t="s">
        <v>36</v>
      </c>
      <c r="D440" t="s">
        <v>488</v>
      </c>
      <c r="E440" t="s">
        <v>1613</v>
      </c>
      <c r="F440" t="s">
        <v>196</v>
      </c>
      <c r="G440" t="s">
        <v>417</v>
      </c>
      <c r="H440" t="s">
        <v>41</v>
      </c>
      <c r="I440" t="s">
        <v>23</v>
      </c>
      <c r="J440" s="1">
        <v>97070</v>
      </c>
      <c r="K440" t="s">
        <v>1614</v>
      </c>
      <c r="L440" t="s">
        <v>1615</v>
      </c>
      <c r="M440" t="s">
        <v>1616</v>
      </c>
      <c r="N440">
        <v>7</v>
      </c>
      <c r="O440">
        <v>178199</v>
      </c>
    </row>
    <row r="441" spans="1:15" x14ac:dyDescent="0.35">
      <c r="A441" t="s">
        <v>15</v>
      </c>
      <c r="B441" t="s">
        <v>69</v>
      </c>
      <c r="C441" t="s">
        <v>61</v>
      </c>
      <c r="D441" t="s">
        <v>1617</v>
      </c>
      <c r="E441" t="s">
        <v>94</v>
      </c>
      <c r="F441" t="s">
        <v>394</v>
      </c>
      <c r="G441" t="s">
        <v>238</v>
      </c>
      <c r="H441" t="s">
        <v>57</v>
      </c>
      <c r="I441" t="s">
        <v>23</v>
      </c>
      <c r="J441" s="1">
        <v>53700</v>
      </c>
      <c r="K441" t="s">
        <v>1618</v>
      </c>
      <c r="L441" t="s">
        <v>1619</v>
      </c>
      <c r="M441" t="s">
        <v>118</v>
      </c>
      <c r="N441">
        <v>11</v>
      </c>
      <c r="O441">
        <v>125135</v>
      </c>
    </row>
    <row r="442" spans="1:15" x14ac:dyDescent="0.35">
      <c r="A442" t="s">
        <v>15</v>
      </c>
      <c r="B442" t="s">
        <v>16</v>
      </c>
      <c r="C442" t="s">
        <v>36</v>
      </c>
      <c r="D442" t="s">
        <v>1620</v>
      </c>
      <c r="E442" t="s">
        <v>1621</v>
      </c>
      <c r="F442" t="s">
        <v>30</v>
      </c>
      <c r="G442" t="s">
        <v>1134</v>
      </c>
      <c r="H442" t="s">
        <v>41</v>
      </c>
      <c r="I442" t="s">
        <v>58</v>
      </c>
      <c r="J442">
        <v>75</v>
      </c>
      <c r="K442" t="s">
        <v>58</v>
      </c>
      <c r="L442" t="s">
        <v>1622</v>
      </c>
      <c r="M442" t="s">
        <v>60</v>
      </c>
      <c r="N442">
        <v>15</v>
      </c>
      <c r="O442">
        <v>182673</v>
      </c>
    </row>
    <row r="443" spans="1:15" x14ac:dyDescent="0.35">
      <c r="A443" t="s">
        <v>15</v>
      </c>
      <c r="B443" t="s">
        <v>99</v>
      </c>
      <c r="C443" t="s">
        <v>61</v>
      </c>
      <c r="D443" t="s">
        <v>1418</v>
      </c>
      <c r="E443" t="s">
        <v>1623</v>
      </c>
      <c r="F443" t="s">
        <v>431</v>
      </c>
      <c r="G443" t="s">
        <v>56</v>
      </c>
      <c r="H443" t="s">
        <v>41</v>
      </c>
      <c r="I443" t="s">
        <v>23</v>
      </c>
      <c r="J443" s="1">
        <v>96040</v>
      </c>
      <c r="K443" t="s">
        <v>23</v>
      </c>
      <c r="L443" t="s">
        <v>1624</v>
      </c>
      <c r="M443" t="s">
        <v>35</v>
      </c>
      <c r="N443">
        <v>21</v>
      </c>
      <c r="O443">
        <v>95906</v>
      </c>
    </row>
    <row r="444" spans="1:15" x14ac:dyDescent="0.35">
      <c r="A444" t="s">
        <v>15</v>
      </c>
      <c r="B444" t="s">
        <v>16</v>
      </c>
      <c r="C444" t="s">
        <v>36</v>
      </c>
      <c r="D444" t="s">
        <v>967</v>
      </c>
      <c r="E444" t="s">
        <v>1625</v>
      </c>
      <c r="F444" t="s">
        <v>125</v>
      </c>
      <c r="G444" t="s">
        <v>969</v>
      </c>
      <c r="H444" t="s">
        <v>41</v>
      </c>
      <c r="I444" t="s">
        <v>23</v>
      </c>
      <c r="J444" s="1">
        <v>2520</v>
      </c>
      <c r="K444" t="s">
        <v>23</v>
      </c>
      <c r="L444" t="s">
        <v>1626</v>
      </c>
      <c r="M444" t="s">
        <v>1627</v>
      </c>
      <c r="N444">
        <v>14</v>
      </c>
      <c r="O444">
        <v>92232.5</v>
      </c>
    </row>
    <row r="445" spans="1:15" x14ac:dyDescent="0.35">
      <c r="A445" t="s">
        <v>15</v>
      </c>
      <c r="B445" t="s">
        <v>99</v>
      </c>
      <c r="C445" t="s">
        <v>61</v>
      </c>
      <c r="D445" t="s">
        <v>1628</v>
      </c>
      <c r="E445" t="s">
        <v>1629</v>
      </c>
      <c r="F445" t="s">
        <v>30</v>
      </c>
      <c r="G445" t="s">
        <v>1630</v>
      </c>
      <c r="H445" t="s">
        <v>115</v>
      </c>
      <c r="I445" t="s">
        <v>23</v>
      </c>
      <c r="J445" s="1">
        <v>3570</v>
      </c>
      <c r="K445" t="s">
        <v>23</v>
      </c>
      <c r="L445" t="s">
        <v>1631</v>
      </c>
      <c r="M445" t="s">
        <v>51</v>
      </c>
      <c r="N445">
        <v>15</v>
      </c>
      <c r="O445">
        <v>187467.5</v>
      </c>
    </row>
    <row r="446" spans="1:15" x14ac:dyDescent="0.35">
      <c r="A446" t="s">
        <v>15</v>
      </c>
      <c r="B446" t="s">
        <v>99</v>
      </c>
      <c r="C446" t="s">
        <v>36</v>
      </c>
      <c r="D446" t="s">
        <v>1632</v>
      </c>
      <c r="E446" t="s">
        <v>1633</v>
      </c>
      <c r="F446" t="s">
        <v>341</v>
      </c>
      <c r="G446" t="s">
        <v>48</v>
      </c>
      <c r="H446" t="s">
        <v>41</v>
      </c>
      <c r="I446" t="s">
        <v>23</v>
      </c>
      <c r="J446" s="1">
        <v>21310</v>
      </c>
      <c r="K446" t="s">
        <v>1634</v>
      </c>
      <c r="L446" t="s">
        <v>1635</v>
      </c>
      <c r="M446" t="s">
        <v>1636</v>
      </c>
      <c r="N446">
        <v>2</v>
      </c>
      <c r="O446">
        <v>137646</v>
      </c>
    </row>
    <row r="447" spans="1:15" x14ac:dyDescent="0.35">
      <c r="A447" t="s">
        <v>15</v>
      </c>
      <c r="B447" t="s">
        <v>16</v>
      </c>
      <c r="C447" t="s">
        <v>61</v>
      </c>
      <c r="D447" t="s">
        <v>1637</v>
      </c>
      <c r="E447" t="s">
        <v>974</v>
      </c>
      <c r="F447" t="s">
        <v>856</v>
      </c>
      <c r="G447" t="s">
        <v>1426</v>
      </c>
      <c r="H447" t="s">
        <v>57</v>
      </c>
      <c r="I447" t="s">
        <v>23</v>
      </c>
      <c r="J447" s="1">
        <v>123020</v>
      </c>
      <c r="K447" t="s">
        <v>23</v>
      </c>
      <c r="L447" t="s">
        <v>1638</v>
      </c>
      <c r="M447" t="s">
        <v>1639</v>
      </c>
      <c r="N447">
        <v>23</v>
      </c>
      <c r="O447">
        <v>41559</v>
      </c>
    </row>
    <row r="448" spans="1:15" x14ac:dyDescent="0.35">
      <c r="A448" t="s">
        <v>15</v>
      </c>
      <c r="B448" t="s">
        <v>16</v>
      </c>
      <c r="C448" t="s">
        <v>36</v>
      </c>
      <c r="D448" t="s">
        <v>1640</v>
      </c>
      <c r="E448" t="s">
        <v>228</v>
      </c>
      <c r="F448" t="s">
        <v>39</v>
      </c>
      <c r="G448" t="s">
        <v>249</v>
      </c>
      <c r="H448" t="s">
        <v>22</v>
      </c>
      <c r="I448" t="s">
        <v>23</v>
      </c>
      <c r="J448" s="1">
        <v>27030</v>
      </c>
      <c r="K448" t="s">
        <v>23</v>
      </c>
      <c r="L448" t="s">
        <v>1641</v>
      </c>
      <c r="M448" t="s">
        <v>1642</v>
      </c>
      <c r="O448">
        <v>118513</v>
      </c>
    </row>
    <row r="449" spans="1:15" x14ac:dyDescent="0.35">
      <c r="A449" t="s">
        <v>15</v>
      </c>
      <c r="B449" t="s">
        <v>52</v>
      </c>
      <c r="C449" t="s">
        <v>17</v>
      </c>
      <c r="D449" t="s">
        <v>927</v>
      </c>
      <c r="E449" t="s">
        <v>928</v>
      </c>
      <c r="F449" t="s">
        <v>47</v>
      </c>
      <c r="G449" t="s">
        <v>86</v>
      </c>
      <c r="H449" t="s">
        <v>22</v>
      </c>
      <c r="I449" t="s">
        <v>23</v>
      </c>
      <c r="J449" s="1">
        <v>17040</v>
      </c>
      <c r="K449" t="s">
        <v>23</v>
      </c>
      <c r="L449" t="s">
        <v>1643</v>
      </c>
      <c r="M449" t="s">
        <v>60</v>
      </c>
      <c r="N449">
        <v>8</v>
      </c>
      <c r="O449">
        <v>115539.5</v>
      </c>
    </row>
    <row r="450" spans="1:15" x14ac:dyDescent="0.35">
      <c r="A450" t="s">
        <v>15</v>
      </c>
      <c r="B450" t="s">
        <v>16</v>
      </c>
      <c r="C450" t="s">
        <v>61</v>
      </c>
      <c r="D450" t="s">
        <v>1200</v>
      </c>
      <c r="E450" t="s">
        <v>1201</v>
      </c>
      <c r="F450" t="s">
        <v>39</v>
      </c>
      <c r="G450" t="s">
        <v>647</v>
      </c>
      <c r="H450" t="s">
        <v>73</v>
      </c>
      <c r="I450" t="s">
        <v>61</v>
      </c>
      <c r="J450">
        <v>210</v>
      </c>
      <c r="K450" t="s">
        <v>73</v>
      </c>
      <c r="L450" t="s">
        <v>1644</v>
      </c>
      <c r="M450" t="s">
        <v>1645</v>
      </c>
      <c r="O450">
        <v>54804</v>
      </c>
    </row>
    <row r="451" spans="1:15" x14ac:dyDescent="0.35">
      <c r="A451" t="s">
        <v>75</v>
      </c>
      <c r="B451" t="s">
        <v>16</v>
      </c>
      <c r="C451" t="s">
        <v>36</v>
      </c>
      <c r="D451" t="s">
        <v>1646</v>
      </c>
      <c r="E451" t="s">
        <v>1647</v>
      </c>
      <c r="F451" t="s">
        <v>1149</v>
      </c>
      <c r="G451" t="s">
        <v>1648</v>
      </c>
      <c r="H451" t="s">
        <v>41</v>
      </c>
      <c r="I451" t="s">
        <v>23</v>
      </c>
      <c r="J451" s="1">
        <v>117800</v>
      </c>
      <c r="K451" t="s">
        <v>1649</v>
      </c>
      <c r="L451" t="s">
        <v>1650</v>
      </c>
      <c r="M451" t="s">
        <v>1651</v>
      </c>
      <c r="N451">
        <v>18</v>
      </c>
      <c r="O451">
        <v>121017</v>
      </c>
    </row>
    <row r="452" spans="1:15" x14ac:dyDescent="0.35">
      <c r="A452" t="s">
        <v>15</v>
      </c>
      <c r="B452" t="s">
        <v>27</v>
      </c>
      <c r="C452" t="s">
        <v>82</v>
      </c>
      <c r="D452" t="s">
        <v>587</v>
      </c>
      <c r="E452" t="s">
        <v>1652</v>
      </c>
      <c r="F452" t="s">
        <v>341</v>
      </c>
      <c r="G452" t="s">
        <v>588</v>
      </c>
      <c r="H452" t="s">
        <v>41</v>
      </c>
      <c r="I452" t="s">
        <v>58</v>
      </c>
      <c r="J452">
        <v>30</v>
      </c>
      <c r="K452" t="s">
        <v>58</v>
      </c>
      <c r="L452" t="s">
        <v>1653</v>
      </c>
      <c r="M452" t="s">
        <v>1654</v>
      </c>
      <c r="N452">
        <v>2</v>
      </c>
      <c r="O452">
        <v>223771</v>
      </c>
    </row>
    <row r="453" spans="1:15" x14ac:dyDescent="0.35">
      <c r="A453" t="s">
        <v>15</v>
      </c>
      <c r="B453" t="s">
        <v>16</v>
      </c>
      <c r="C453" t="s">
        <v>17</v>
      </c>
      <c r="D453" t="s">
        <v>1655</v>
      </c>
      <c r="E453" t="s">
        <v>1656</v>
      </c>
      <c r="F453" t="s">
        <v>64</v>
      </c>
      <c r="G453" t="s">
        <v>1657</v>
      </c>
      <c r="H453" t="s">
        <v>41</v>
      </c>
      <c r="I453" t="s">
        <v>23</v>
      </c>
      <c r="J453" s="1">
        <v>110020</v>
      </c>
      <c r="K453" t="s">
        <v>1658</v>
      </c>
      <c r="L453" t="s">
        <v>1659</v>
      </c>
      <c r="M453" t="s">
        <v>1660</v>
      </c>
      <c r="N453">
        <v>3</v>
      </c>
      <c r="O453">
        <v>187146.5</v>
      </c>
    </row>
    <row r="454" spans="1:15" x14ac:dyDescent="0.35">
      <c r="A454" t="s">
        <v>15</v>
      </c>
      <c r="B454" t="s">
        <v>99</v>
      </c>
      <c r="C454" t="s">
        <v>17</v>
      </c>
      <c r="D454" t="s">
        <v>207</v>
      </c>
      <c r="E454" t="s">
        <v>208</v>
      </c>
      <c r="F454" t="s">
        <v>196</v>
      </c>
      <c r="G454" t="s">
        <v>209</v>
      </c>
      <c r="H454" t="s">
        <v>41</v>
      </c>
      <c r="I454" t="s">
        <v>23</v>
      </c>
      <c r="J454" s="1">
        <v>1310</v>
      </c>
      <c r="K454" t="s">
        <v>23</v>
      </c>
      <c r="L454" t="s">
        <v>1661</v>
      </c>
      <c r="M454" t="s">
        <v>163</v>
      </c>
      <c r="N454">
        <v>7</v>
      </c>
      <c r="O454">
        <v>45671.5</v>
      </c>
    </row>
    <row r="455" spans="1:15" x14ac:dyDescent="0.35">
      <c r="A455" t="s">
        <v>15</v>
      </c>
      <c r="B455" t="s">
        <v>16</v>
      </c>
      <c r="C455" t="s">
        <v>61</v>
      </c>
      <c r="D455" t="s">
        <v>864</v>
      </c>
      <c r="E455" t="s">
        <v>865</v>
      </c>
      <c r="F455" t="s">
        <v>312</v>
      </c>
      <c r="G455" t="s">
        <v>866</v>
      </c>
      <c r="H455" t="s">
        <v>41</v>
      </c>
      <c r="I455" t="s">
        <v>58</v>
      </c>
      <c r="J455">
        <v>180</v>
      </c>
      <c r="K455" t="s">
        <v>58</v>
      </c>
      <c r="L455" t="s">
        <v>1662</v>
      </c>
      <c r="M455" t="s">
        <v>919</v>
      </c>
      <c r="N455">
        <v>4</v>
      </c>
      <c r="O455">
        <v>73072</v>
      </c>
    </row>
    <row r="456" spans="1:15" x14ac:dyDescent="0.35">
      <c r="A456" t="s">
        <v>15</v>
      </c>
      <c r="B456" t="s">
        <v>16</v>
      </c>
      <c r="C456" t="s">
        <v>61</v>
      </c>
      <c r="D456" t="s">
        <v>703</v>
      </c>
      <c r="E456" t="s">
        <v>1663</v>
      </c>
      <c r="F456" t="s">
        <v>312</v>
      </c>
      <c r="G456" t="s">
        <v>169</v>
      </c>
      <c r="H456" t="s">
        <v>41</v>
      </c>
      <c r="I456" t="s">
        <v>23</v>
      </c>
      <c r="J456" s="1">
        <v>261040</v>
      </c>
      <c r="K456" t="s">
        <v>1664</v>
      </c>
      <c r="L456" t="s">
        <v>1665</v>
      </c>
      <c r="M456" t="s">
        <v>706</v>
      </c>
      <c r="N456">
        <v>4</v>
      </c>
      <c r="O456">
        <v>9585</v>
      </c>
    </row>
    <row r="457" spans="1:15" x14ac:dyDescent="0.35">
      <c r="A457" t="s">
        <v>15</v>
      </c>
      <c r="B457" t="s">
        <v>16</v>
      </c>
      <c r="C457" t="s">
        <v>17</v>
      </c>
      <c r="D457" t="s">
        <v>747</v>
      </c>
      <c r="E457" t="s">
        <v>1666</v>
      </c>
      <c r="F457" t="s">
        <v>399</v>
      </c>
      <c r="G457" t="s">
        <v>65</v>
      </c>
      <c r="H457" t="s">
        <v>41</v>
      </c>
      <c r="I457" t="s">
        <v>58</v>
      </c>
      <c r="J457" s="1">
        <v>3510</v>
      </c>
      <c r="K457" t="s">
        <v>58</v>
      </c>
      <c r="L457" t="s">
        <v>1667</v>
      </c>
      <c r="M457" t="s">
        <v>1668</v>
      </c>
      <c r="N457">
        <v>5</v>
      </c>
      <c r="O457">
        <v>143858</v>
      </c>
    </row>
    <row r="458" spans="1:15" x14ac:dyDescent="0.35">
      <c r="A458" t="s">
        <v>15</v>
      </c>
      <c r="B458" t="s">
        <v>16</v>
      </c>
      <c r="C458" t="s">
        <v>17</v>
      </c>
      <c r="D458" t="s">
        <v>1669</v>
      </c>
      <c r="E458" t="s">
        <v>1670</v>
      </c>
      <c r="F458" t="s">
        <v>125</v>
      </c>
      <c r="G458" t="s">
        <v>580</v>
      </c>
      <c r="H458" t="s">
        <v>41</v>
      </c>
      <c r="I458" t="s">
        <v>61</v>
      </c>
      <c r="J458" s="1">
        <v>1060</v>
      </c>
      <c r="K458" t="s">
        <v>960</v>
      </c>
      <c r="L458" t="s">
        <v>1671</v>
      </c>
      <c r="M458" t="s">
        <v>51</v>
      </c>
      <c r="N458">
        <v>14</v>
      </c>
      <c r="O458">
        <v>166892</v>
      </c>
    </row>
    <row r="459" spans="1:15" x14ac:dyDescent="0.35">
      <c r="A459" t="s">
        <v>75</v>
      </c>
      <c r="B459" t="s">
        <v>16</v>
      </c>
      <c r="C459" t="s">
        <v>61</v>
      </c>
      <c r="D459" t="s">
        <v>1672</v>
      </c>
      <c r="E459" t="s">
        <v>1673</v>
      </c>
      <c r="F459" t="s">
        <v>64</v>
      </c>
      <c r="G459" t="s">
        <v>498</v>
      </c>
      <c r="H459" t="s">
        <v>156</v>
      </c>
      <c r="I459" t="s">
        <v>23</v>
      </c>
      <c r="J459" s="1">
        <v>6160</v>
      </c>
      <c r="K459" t="s">
        <v>23</v>
      </c>
      <c r="L459" t="s">
        <v>1674</v>
      </c>
      <c r="M459" t="s">
        <v>1675</v>
      </c>
      <c r="N459">
        <v>3</v>
      </c>
      <c r="O459">
        <v>201851</v>
      </c>
    </row>
    <row r="460" spans="1:15" x14ac:dyDescent="0.35">
      <c r="A460" t="s">
        <v>75</v>
      </c>
      <c r="B460" t="s">
        <v>52</v>
      </c>
      <c r="C460" t="s">
        <v>36</v>
      </c>
      <c r="D460" t="s">
        <v>755</v>
      </c>
      <c r="E460" t="s">
        <v>544</v>
      </c>
      <c r="F460" t="s">
        <v>85</v>
      </c>
      <c r="G460" t="s">
        <v>756</v>
      </c>
      <c r="H460" t="s">
        <v>41</v>
      </c>
      <c r="I460" t="s">
        <v>58</v>
      </c>
      <c r="J460">
        <v>31</v>
      </c>
      <c r="K460" t="s">
        <v>58</v>
      </c>
      <c r="L460" t="s">
        <v>1676</v>
      </c>
      <c r="M460" t="s">
        <v>60</v>
      </c>
      <c r="N460">
        <v>6</v>
      </c>
      <c r="O460">
        <v>248885.5</v>
      </c>
    </row>
    <row r="461" spans="1:15" x14ac:dyDescent="0.35">
      <c r="A461" t="s">
        <v>15</v>
      </c>
      <c r="B461" t="s">
        <v>16</v>
      </c>
      <c r="C461" t="s">
        <v>36</v>
      </c>
      <c r="D461" t="s">
        <v>1374</v>
      </c>
      <c r="E461" t="s">
        <v>1677</v>
      </c>
      <c r="F461" t="s">
        <v>125</v>
      </c>
      <c r="G461" t="s">
        <v>1376</v>
      </c>
      <c r="H461" t="s">
        <v>57</v>
      </c>
      <c r="I461" t="s">
        <v>23</v>
      </c>
      <c r="J461" s="1">
        <v>3790</v>
      </c>
      <c r="K461" t="s">
        <v>23</v>
      </c>
      <c r="L461" t="s">
        <v>1678</v>
      </c>
      <c r="M461" t="s">
        <v>1378</v>
      </c>
      <c r="N461">
        <v>14</v>
      </c>
      <c r="O461">
        <v>116060</v>
      </c>
    </row>
    <row r="462" spans="1:15" x14ac:dyDescent="0.35">
      <c r="A462" t="s">
        <v>15</v>
      </c>
      <c r="B462" t="s">
        <v>16</v>
      </c>
      <c r="C462" t="s">
        <v>61</v>
      </c>
      <c r="D462" t="s">
        <v>1679</v>
      </c>
      <c r="E462" t="s">
        <v>385</v>
      </c>
      <c r="F462" t="s">
        <v>196</v>
      </c>
      <c r="G462" t="s">
        <v>1680</v>
      </c>
      <c r="H462" t="s">
        <v>41</v>
      </c>
      <c r="I462" t="s">
        <v>58</v>
      </c>
      <c r="J462">
        <v>510</v>
      </c>
      <c r="K462" t="s">
        <v>58</v>
      </c>
      <c r="L462" t="s">
        <v>1362</v>
      </c>
      <c r="M462" t="s">
        <v>81</v>
      </c>
      <c r="N462">
        <v>7</v>
      </c>
      <c r="O462">
        <v>100473</v>
      </c>
    </row>
    <row r="463" spans="1:15" x14ac:dyDescent="0.35">
      <c r="A463" t="s">
        <v>15</v>
      </c>
      <c r="B463" t="s">
        <v>16</v>
      </c>
      <c r="C463" t="s">
        <v>61</v>
      </c>
      <c r="D463" t="s">
        <v>1681</v>
      </c>
      <c r="E463" t="s">
        <v>732</v>
      </c>
      <c r="F463" t="s">
        <v>64</v>
      </c>
      <c r="G463" t="s">
        <v>1682</v>
      </c>
      <c r="H463" t="s">
        <v>41</v>
      </c>
      <c r="I463" t="s">
        <v>23</v>
      </c>
      <c r="J463" s="1">
        <v>16070</v>
      </c>
      <c r="K463" t="s">
        <v>23</v>
      </c>
      <c r="L463" t="s">
        <v>1683</v>
      </c>
      <c r="M463" t="s">
        <v>118</v>
      </c>
      <c r="N463">
        <v>3</v>
      </c>
      <c r="O463">
        <v>154450.5</v>
      </c>
    </row>
    <row r="464" spans="1:15" x14ac:dyDescent="0.35">
      <c r="A464" t="s">
        <v>15</v>
      </c>
      <c r="B464" t="s">
        <v>16</v>
      </c>
      <c r="C464" t="s">
        <v>61</v>
      </c>
      <c r="D464" t="s">
        <v>1684</v>
      </c>
      <c r="E464" t="s">
        <v>1331</v>
      </c>
      <c r="F464" t="s">
        <v>125</v>
      </c>
      <c r="G464" t="s">
        <v>773</v>
      </c>
      <c r="H464" t="s">
        <v>57</v>
      </c>
      <c r="I464" t="s">
        <v>23</v>
      </c>
      <c r="J464" s="1">
        <v>100050</v>
      </c>
      <c r="K464" t="s">
        <v>23</v>
      </c>
      <c r="L464" t="s">
        <v>1685</v>
      </c>
      <c r="M464" t="s">
        <v>110</v>
      </c>
      <c r="N464">
        <v>14</v>
      </c>
      <c r="O464">
        <v>75815</v>
      </c>
    </row>
    <row r="465" spans="1:15" x14ac:dyDescent="0.35">
      <c r="A465" t="s">
        <v>75</v>
      </c>
      <c r="B465" t="s">
        <v>16</v>
      </c>
      <c r="C465" t="s">
        <v>61</v>
      </c>
      <c r="D465" t="s">
        <v>875</v>
      </c>
      <c r="E465" t="s">
        <v>796</v>
      </c>
      <c r="F465" t="s">
        <v>196</v>
      </c>
      <c r="G465" t="s">
        <v>797</v>
      </c>
      <c r="H465" t="s">
        <v>115</v>
      </c>
      <c r="I465" t="s">
        <v>58</v>
      </c>
      <c r="J465">
        <v>250</v>
      </c>
      <c r="K465" t="s">
        <v>58</v>
      </c>
      <c r="L465" t="s">
        <v>1686</v>
      </c>
      <c r="M465" t="s">
        <v>1402</v>
      </c>
      <c r="N465">
        <v>7</v>
      </c>
      <c r="O465">
        <v>184040</v>
      </c>
    </row>
    <row r="466" spans="1:15" x14ac:dyDescent="0.35">
      <c r="A466" t="s">
        <v>15</v>
      </c>
      <c r="B466" t="s">
        <v>16</v>
      </c>
      <c r="C466" t="s">
        <v>17</v>
      </c>
      <c r="D466" t="s">
        <v>334</v>
      </c>
      <c r="E466" t="s">
        <v>335</v>
      </c>
      <c r="F466" t="s">
        <v>196</v>
      </c>
      <c r="G466" t="s">
        <v>336</v>
      </c>
      <c r="H466" t="s">
        <v>57</v>
      </c>
      <c r="I466" t="s">
        <v>23</v>
      </c>
      <c r="J466" s="1">
        <v>68440</v>
      </c>
      <c r="K466" t="s">
        <v>23</v>
      </c>
      <c r="L466" t="s">
        <v>1687</v>
      </c>
      <c r="M466" t="s">
        <v>338</v>
      </c>
      <c r="N466">
        <v>7</v>
      </c>
      <c r="O466">
        <v>24203</v>
      </c>
    </row>
    <row r="467" spans="1:15" x14ac:dyDescent="0.35">
      <c r="A467" t="s">
        <v>15</v>
      </c>
      <c r="B467" t="s">
        <v>16</v>
      </c>
      <c r="C467" t="s">
        <v>36</v>
      </c>
      <c r="D467" t="s">
        <v>767</v>
      </c>
      <c r="E467" t="s">
        <v>768</v>
      </c>
      <c r="F467" t="s">
        <v>125</v>
      </c>
      <c r="G467" t="s">
        <v>769</v>
      </c>
      <c r="H467" t="s">
        <v>41</v>
      </c>
      <c r="I467" t="s">
        <v>23</v>
      </c>
      <c r="J467" s="1">
        <v>65130</v>
      </c>
      <c r="K467" t="s">
        <v>23</v>
      </c>
      <c r="L467" t="s">
        <v>1688</v>
      </c>
      <c r="M467" t="s">
        <v>1689</v>
      </c>
      <c r="N467">
        <v>14</v>
      </c>
      <c r="O467">
        <v>107359</v>
      </c>
    </row>
    <row r="468" spans="1:15" x14ac:dyDescent="0.35">
      <c r="A468" t="s">
        <v>15</v>
      </c>
      <c r="B468" t="s">
        <v>52</v>
      </c>
      <c r="C468" t="s">
        <v>36</v>
      </c>
      <c r="D468" t="s">
        <v>286</v>
      </c>
      <c r="E468" t="s">
        <v>1690</v>
      </c>
      <c r="F468" t="s">
        <v>39</v>
      </c>
      <c r="G468" t="s">
        <v>90</v>
      </c>
      <c r="H468" t="s">
        <v>57</v>
      </c>
      <c r="I468" t="s">
        <v>58</v>
      </c>
      <c r="J468">
        <v>950</v>
      </c>
      <c r="K468" t="s">
        <v>1691</v>
      </c>
      <c r="L468" t="s">
        <v>1692</v>
      </c>
      <c r="M468" t="s">
        <v>60</v>
      </c>
      <c r="O468">
        <v>156187.5</v>
      </c>
    </row>
    <row r="469" spans="1:15" x14ac:dyDescent="0.35">
      <c r="A469" t="s">
        <v>15</v>
      </c>
      <c r="B469" t="s">
        <v>16</v>
      </c>
      <c r="C469" t="s">
        <v>17</v>
      </c>
      <c r="D469" t="s">
        <v>392</v>
      </c>
      <c r="E469" t="s">
        <v>393</v>
      </c>
      <c r="F469" t="s">
        <v>277</v>
      </c>
      <c r="G469" t="s">
        <v>90</v>
      </c>
      <c r="H469" t="s">
        <v>57</v>
      </c>
      <c r="I469" t="s">
        <v>58</v>
      </c>
      <c r="J469">
        <v>780</v>
      </c>
      <c r="K469" t="s">
        <v>879</v>
      </c>
      <c r="L469" t="s">
        <v>1693</v>
      </c>
      <c r="M469" t="s">
        <v>60</v>
      </c>
      <c r="N469">
        <v>12</v>
      </c>
      <c r="O469">
        <v>212579.5</v>
      </c>
    </row>
    <row r="470" spans="1:15" x14ac:dyDescent="0.35">
      <c r="A470" t="s">
        <v>15</v>
      </c>
      <c r="B470" t="s">
        <v>52</v>
      </c>
      <c r="C470" t="s">
        <v>17</v>
      </c>
      <c r="D470" t="s">
        <v>257</v>
      </c>
      <c r="E470" t="s">
        <v>1694</v>
      </c>
      <c r="F470" t="s">
        <v>196</v>
      </c>
      <c r="G470" t="s">
        <v>90</v>
      </c>
      <c r="H470" t="s">
        <v>41</v>
      </c>
      <c r="I470" t="s">
        <v>23</v>
      </c>
      <c r="J470" s="1">
        <v>5010</v>
      </c>
      <c r="K470" t="s">
        <v>1695</v>
      </c>
      <c r="L470" t="s">
        <v>1696</v>
      </c>
      <c r="M470" t="s">
        <v>60</v>
      </c>
      <c r="N470">
        <v>7</v>
      </c>
      <c r="O470">
        <v>98647</v>
      </c>
    </row>
    <row r="471" spans="1:15" x14ac:dyDescent="0.35">
      <c r="A471" t="s">
        <v>15</v>
      </c>
      <c r="B471" t="s">
        <v>16</v>
      </c>
      <c r="C471" t="s">
        <v>61</v>
      </c>
      <c r="D471" t="s">
        <v>709</v>
      </c>
      <c r="E471" t="s">
        <v>128</v>
      </c>
      <c r="F471" t="s">
        <v>292</v>
      </c>
      <c r="G471" t="s">
        <v>169</v>
      </c>
      <c r="H471" t="s">
        <v>41</v>
      </c>
      <c r="I471" t="s">
        <v>58</v>
      </c>
      <c r="J471" s="1">
        <v>15470</v>
      </c>
      <c r="K471" t="s">
        <v>1697</v>
      </c>
      <c r="L471" t="s">
        <v>1698</v>
      </c>
      <c r="M471" t="s">
        <v>1450</v>
      </c>
      <c r="N471">
        <v>5</v>
      </c>
      <c r="O471">
        <v>36101</v>
      </c>
    </row>
    <row r="472" spans="1:15" x14ac:dyDescent="0.35">
      <c r="A472" t="s">
        <v>15</v>
      </c>
      <c r="B472" t="s">
        <v>16</v>
      </c>
      <c r="C472" t="s">
        <v>36</v>
      </c>
      <c r="D472" t="s">
        <v>37</v>
      </c>
      <c r="E472" t="s">
        <v>1699</v>
      </c>
      <c r="F472" t="s">
        <v>196</v>
      </c>
      <c r="G472" t="s">
        <v>40</v>
      </c>
      <c r="H472" t="s">
        <v>41</v>
      </c>
      <c r="I472" t="s">
        <v>23</v>
      </c>
      <c r="J472" s="1">
        <v>25920</v>
      </c>
      <c r="K472" t="s">
        <v>1700</v>
      </c>
      <c r="L472" t="s">
        <v>1701</v>
      </c>
      <c r="M472" t="s">
        <v>1702</v>
      </c>
      <c r="N472">
        <v>7</v>
      </c>
      <c r="O472">
        <v>149152</v>
      </c>
    </row>
    <row r="473" spans="1:15" x14ac:dyDescent="0.35">
      <c r="A473" t="s">
        <v>75</v>
      </c>
      <c r="B473" t="s">
        <v>16</v>
      </c>
      <c r="C473" t="s">
        <v>36</v>
      </c>
      <c r="D473" t="s">
        <v>375</v>
      </c>
      <c r="E473" t="s">
        <v>376</v>
      </c>
      <c r="F473" t="s">
        <v>244</v>
      </c>
      <c r="G473" t="s">
        <v>377</v>
      </c>
      <c r="H473" t="s">
        <v>41</v>
      </c>
      <c r="I473" t="s">
        <v>58</v>
      </c>
      <c r="J473">
        <v>530</v>
      </c>
      <c r="K473" t="s">
        <v>58</v>
      </c>
      <c r="L473" t="s">
        <v>1703</v>
      </c>
      <c r="M473" t="s">
        <v>60</v>
      </c>
      <c r="N473">
        <v>2</v>
      </c>
      <c r="O473">
        <v>36342</v>
      </c>
    </row>
    <row r="474" spans="1:15" x14ac:dyDescent="0.35">
      <c r="A474" t="s">
        <v>15</v>
      </c>
      <c r="B474" t="s">
        <v>27</v>
      </c>
      <c r="C474" t="s">
        <v>17</v>
      </c>
      <c r="D474" t="s">
        <v>1704</v>
      </c>
      <c r="E474" t="s">
        <v>1297</v>
      </c>
      <c r="F474" t="s">
        <v>64</v>
      </c>
      <c r="G474" t="s">
        <v>1705</v>
      </c>
      <c r="H474" t="s">
        <v>57</v>
      </c>
      <c r="I474" t="s">
        <v>23</v>
      </c>
      <c r="J474" s="1">
        <v>16880</v>
      </c>
      <c r="K474" t="s">
        <v>23</v>
      </c>
      <c r="L474" t="s">
        <v>1706</v>
      </c>
      <c r="M474" t="s">
        <v>1707</v>
      </c>
      <c r="N474">
        <v>3</v>
      </c>
      <c r="O474">
        <v>140905.5</v>
      </c>
    </row>
    <row r="475" spans="1:15" x14ac:dyDescent="0.35">
      <c r="A475" t="s">
        <v>15</v>
      </c>
      <c r="B475" t="s">
        <v>16</v>
      </c>
      <c r="C475" t="s">
        <v>36</v>
      </c>
      <c r="D475" t="s">
        <v>915</v>
      </c>
      <c r="E475" t="s">
        <v>228</v>
      </c>
      <c r="F475" t="s">
        <v>39</v>
      </c>
      <c r="G475" t="s">
        <v>916</v>
      </c>
      <c r="H475" t="s">
        <v>57</v>
      </c>
      <c r="I475" t="s">
        <v>23</v>
      </c>
      <c r="J475" s="1">
        <v>62070</v>
      </c>
      <c r="K475" t="s">
        <v>1708</v>
      </c>
      <c r="L475" t="s">
        <v>1709</v>
      </c>
      <c r="M475" t="s">
        <v>919</v>
      </c>
      <c r="O475">
        <v>210401.5</v>
      </c>
    </row>
    <row r="476" spans="1:15" x14ac:dyDescent="0.35">
      <c r="A476" t="s">
        <v>15</v>
      </c>
      <c r="B476" t="s">
        <v>16</v>
      </c>
      <c r="C476" t="s">
        <v>61</v>
      </c>
      <c r="D476" t="s">
        <v>168</v>
      </c>
      <c r="E476" t="s">
        <v>1710</v>
      </c>
      <c r="F476" t="s">
        <v>196</v>
      </c>
      <c r="G476" t="s">
        <v>169</v>
      </c>
      <c r="H476" t="s">
        <v>41</v>
      </c>
      <c r="I476" t="s">
        <v>23</v>
      </c>
      <c r="J476" s="1">
        <v>222030</v>
      </c>
      <c r="K476" t="s">
        <v>1711</v>
      </c>
      <c r="L476" t="s">
        <v>1712</v>
      </c>
      <c r="M476" t="s">
        <v>1713</v>
      </c>
      <c r="N476">
        <v>7</v>
      </c>
      <c r="O476">
        <v>10048</v>
      </c>
    </row>
    <row r="477" spans="1:15" x14ac:dyDescent="0.35">
      <c r="A477" t="s">
        <v>15</v>
      </c>
      <c r="B477" t="s">
        <v>27</v>
      </c>
      <c r="C477" t="s">
        <v>36</v>
      </c>
      <c r="D477" t="s">
        <v>1714</v>
      </c>
      <c r="E477" t="s">
        <v>63</v>
      </c>
      <c r="F477" t="s">
        <v>39</v>
      </c>
      <c r="G477" t="s">
        <v>1715</v>
      </c>
      <c r="H477" t="s">
        <v>57</v>
      </c>
      <c r="I477" t="s">
        <v>58</v>
      </c>
      <c r="J477" s="1">
        <v>32340</v>
      </c>
      <c r="K477" t="s">
        <v>58</v>
      </c>
      <c r="L477" t="s">
        <v>1716</v>
      </c>
      <c r="M477" t="s">
        <v>549</v>
      </c>
      <c r="O477">
        <v>180032.5</v>
      </c>
    </row>
    <row r="478" spans="1:15" x14ac:dyDescent="0.35">
      <c r="A478" t="s">
        <v>15</v>
      </c>
      <c r="B478" t="s">
        <v>27</v>
      </c>
      <c r="C478" t="s">
        <v>82</v>
      </c>
      <c r="D478" t="s">
        <v>93</v>
      </c>
      <c r="E478" t="s">
        <v>94</v>
      </c>
      <c r="F478" t="s">
        <v>55</v>
      </c>
      <c r="G478" t="s">
        <v>95</v>
      </c>
      <c r="H478" t="s">
        <v>41</v>
      </c>
      <c r="I478" t="s">
        <v>23</v>
      </c>
      <c r="J478" s="1">
        <v>103070</v>
      </c>
      <c r="K478" t="s">
        <v>368</v>
      </c>
      <c r="L478" t="s">
        <v>1717</v>
      </c>
      <c r="M478" t="s">
        <v>1718</v>
      </c>
      <c r="N478">
        <v>3</v>
      </c>
      <c r="O478">
        <v>96818</v>
      </c>
    </row>
    <row r="479" spans="1:15" x14ac:dyDescent="0.35">
      <c r="A479" t="s">
        <v>15</v>
      </c>
      <c r="B479" t="s">
        <v>16</v>
      </c>
      <c r="C479" t="s">
        <v>61</v>
      </c>
      <c r="D479" t="s">
        <v>1719</v>
      </c>
      <c r="E479" t="s">
        <v>1663</v>
      </c>
      <c r="F479" t="s">
        <v>196</v>
      </c>
      <c r="G479" t="s">
        <v>1720</v>
      </c>
      <c r="H479" t="s">
        <v>41</v>
      </c>
      <c r="I479" t="s">
        <v>58</v>
      </c>
      <c r="J479" s="1">
        <v>3980</v>
      </c>
      <c r="K479" t="s">
        <v>58</v>
      </c>
      <c r="L479" t="s">
        <v>1721</v>
      </c>
      <c r="M479" t="s">
        <v>1722</v>
      </c>
      <c r="N479">
        <v>7</v>
      </c>
      <c r="O479">
        <v>35019</v>
      </c>
    </row>
    <row r="480" spans="1:15" x14ac:dyDescent="0.35">
      <c r="A480" t="s">
        <v>15</v>
      </c>
      <c r="B480" t="s">
        <v>16</v>
      </c>
      <c r="C480" t="s">
        <v>36</v>
      </c>
      <c r="D480" t="s">
        <v>869</v>
      </c>
      <c r="E480" t="s">
        <v>54</v>
      </c>
      <c r="F480" t="s">
        <v>39</v>
      </c>
      <c r="G480" t="s">
        <v>65</v>
      </c>
      <c r="H480" t="s">
        <v>41</v>
      </c>
      <c r="I480" t="s">
        <v>58</v>
      </c>
      <c r="J480">
        <v>420</v>
      </c>
      <c r="K480" t="s">
        <v>58</v>
      </c>
      <c r="L480" t="s">
        <v>1723</v>
      </c>
      <c r="M480" t="s">
        <v>60</v>
      </c>
      <c r="O480">
        <v>204594</v>
      </c>
    </row>
    <row r="481" spans="1:15" x14ac:dyDescent="0.35">
      <c r="A481" t="s">
        <v>15</v>
      </c>
      <c r="B481" t="s">
        <v>99</v>
      </c>
      <c r="C481" t="s">
        <v>36</v>
      </c>
      <c r="D481" t="s">
        <v>920</v>
      </c>
      <c r="E481" t="s">
        <v>860</v>
      </c>
      <c r="F481" t="s">
        <v>1149</v>
      </c>
      <c r="G481" t="s">
        <v>921</v>
      </c>
      <c r="H481" t="s">
        <v>22</v>
      </c>
      <c r="I481" t="s">
        <v>23</v>
      </c>
      <c r="J481" s="1">
        <v>55090</v>
      </c>
      <c r="K481" t="s">
        <v>1724</v>
      </c>
      <c r="L481" t="s">
        <v>1725</v>
      </c>
      <c r="M481" t="s">
        <v>1726</v>
      </c>
      <c r="N481">
        <v>18</v>
      </c>
      <c r="O481">
        <v>155089.5</v>
      </c>
    </row>
    <row r="482" spans="1:15" x14ac:dyDescent="0.35">
      <c r="A482" t="s">
        <v>15</v>
      </c>
      <c r="B482" t="s">
        <v>99</v>
      </c>
      <c r="C482" t="s">
        <v>36</v>
      </c>
      <c r="D482" t="s">
        <v>1727</v>
      </c>
      <c r="E482" t="s">
        <v>1728</v>
      </c>
      <c r="F482" t="s">
        <v>125</v>
      </c>
      <c r="G482" t="s">
        <v>1342</v>
      </c>
      <c r="H482" t="s">
        <v>41</v>
      </c>
      <c r="I482" t="s">
        <v>23</v>
      </c>
      <c r="J482">
        <v>510</v>
      </c>
      <c r="K482" t="s">
        <v>23</v>
      </c>
      <c r="L482" t="s">
        <v>1729</v>
      </c>
      <c r="M482" t="s">
        <v>200</v>
      </c>
      <c r="N482">
        <v>14</v>
      </c>
      <c r="O482">
        <v>107320</v>
      </c>
    </row>
    <row r="483" spans="1:15" x14ac:dyDescent="0.35">
      <c r="A483" t="s">
        <v>15</v>
      </c>
      <c r="B483" t="s">
        <v>16</v>
      </c>
      <c r="C483" t="s">
        <v>82</v>
      </c>
      <c r="D483" t="s">
        <v>1730</v>
      </c>
      <c r="E483" t="s">
        <v>1731</v>
      </c>
      <c r="F483" t="s">
        <v>125</v>
      </c>
      <c r="G483" t="s">
        <v>594</v>
      </c>
      <c r="H483" t="s">
        <v>41</v>
      </c>
      <c r="I483" t="s">
        <v>23</v>
      </c>
      <c r="J483" s="1">
        <v>9200</v>
      </c>
      <c r="K483" t="s">
        <v>23</v>
      </c>
      <c r="L483" t="s">
        <v>1732</v>
      </c>
      <c r="M483" t="s">
        <v>1733</v>
      </c>
      <c r="N483">
        <v>14</v>
      </c>
      <c r="O483">
        <v>126430</v>
      </c>
    </row>
    <row r="484" spans="1:15" x14ac:dyDescent="0.35">
      <c r="A484" t="s">
        <v>15</v>
      </c>
      <c r="B484" t="s">
        <v>27</v>
      </c>
      <c r="C484" t="s">
        <v>36</v>
      </c>
      <c r="D484" t="s">
        <v>1734</v>
      </c>
      <c r="E484" t="s">
        <v>228</v>
      </c>
      <c r="F484" t="s">
        <v>39</v>
      </c>
      <c r="G484" t="s">
        <v>1354</v>
      </c>
      <c r="H484" t="s">
        <v>41</v>
      </c>
      <c r="I484" t="s">
        <v>23</v>
      </c>
      <c r="J484" s="1">
        <v>1300</v>
      </c>
      <c r="K484" t="s">
        <v>23</v>
      </c>
      <c r="L484" t="s">
        <v>1735</v>
      </c>
      <c r="M484" t="s">
        <v>118</v>
      </c>
      <c r="O484">
        <v>155363.5</v>
      </c>
    </row>
    <row r="485" spans="1:15" x14ac:dyDescent="0.35">
      <c r="A485" t="s">
        <v>15</v>
      </c>
      <c r="B485" t="s">
        <v>16</v>
      </c>
      <c r="C485" t="s">
        <v>61</v>
      </c>
      <c r="D485" t="s">
        <v>1736</v>
      </c>
      <c r="E485" t="s">
        <v>128</v>
      </c>
      <c r="F485" t="s">
        <v>441</v>
      </c>
      <c r="G485" t="s">
        <v>412</v>
      </c>
      <c r="H485" t="s">
        <v>41</v>
      </c>
      <c r="I485" t="s">
        <v>23</v>
      </c>
      <c r="J485" s="1">
        <v>258790</v>
      </c>
      <c r="K485" t="s">
        <v>1737</v>
      </c>
      <c r="L485" t="s">
        <v>1738</v>
      </c>
      <c r="M485" t="s">
        <v>1739</v>
      </c>
      <c r="N485">
        <v>10</v>
      </c>
      <c r="O485">
        <v>42493</v>
      </c>
    </row>
    <row r="486" spans="1:15" x14ac:dyDescent="0.35">
      <c r="A486" t="s">
        <v>15</v>
      </c>
      <c r="B486" t="s">
        <v>16</v>
      </c>
      <c r="C486" t="s">
        <v>61</v>
      </c>
      <c r="D486" t="s">
        <v>445</v>
      </c>
      <c r="E486" t="s">
        <v>688</v>
      </c>
      <c r="F486" t="s">
        <v>30</v>
      </c>
      <c r="G486" t="s">
        <v>446</v>
      </c>
      <c r="H486" t="s">
        <v>41</v>
      </c>
      <c r="I486" t="s">
        <v>23</v>
      </c>
      <c r="J486" s="1">
        <v>524608</v>
      </c>
      <c r="K486" t="s">
        <v>1740</v>
      </c>
      <c r="L486" t="s">
        <v>1741</v>
      </c>
      <c r="M486" t="s">
        <v>1742</v>
      </c>
      <c r="N486">
        <v>15</v>
      </c>
      <c r="O486">
        <v>39986.5</v>
      </c>
    </row>
    <row r="487" spans="1:15" x14ac:dyDescent="0.35">
      <c r="A487" t="s">
        <v>15</v>
      </c>
      <c r="B487" t="s">
        <v>16</v>
      </c>
      <c r="C487" t="s">
        <v>36</v>
      </c>
      <c r="D487" t="s">
        <v>750</v>
      </c>
      <c r="E487" t="s">
        <v>1743</v>
      </c>
      <c r="F487" t="s">
        <v>64</v>
      </c>
      <c r="G487" t="s">
        <v>752</v>
      </c>
      <c r="H487" t="s">
        <v>41</v>
      </c>
      <c r="I487" t="s">
        <v>23</v>
      </c>
      <c r="J487" s="1">
        <v>20050</v>
      </c>
      <c r="K487" t="s">
        <v>23</v>
      </c>
      <c r="L487" t="s">
        <v>1744</v>
      </c>
      <c r="M487" t="s">
        <v>1745</v>
      </c>
      <c r="N487">
        <v>3</v>
      </c>
      <c r="O487">
        <v>167467</v>
      </c>
    </row>
    <row r="488" spans="1:15" x14ac:dyDescent="0.35">
      <c r="A488" t="s">
        <v>15</v>
      </c>
      <c r="B488" t="s">
        <v>99</v>
      </c>
      <c r="C488" t="s">
        <v>17</v>
      </c>
      <c r="D488" t="s">
        <v>253</v>
      </c>
      <c r="E488" t="s">
        <v>633</v>
      </c>
      <c r="F488" t="s">
        <v>399</v>
      </c>
      <c r="G488" t="s">
        <v>150</v>
      </c>
      <c r="H488" t="s">
        <v>57</v>
      </c>
      <c r="I488" t="s">
        <v>23</v>
      </c>
      <c r="J488" s="1">
        <v>26050</v>
      </c>
      <c r="K488" t="s">
        <v>23</v>
      </c>
      <c r="L488" t="s">
        <v>1746</v>
      </c>
      <c r="M488" t="s">
        <v>1747</v>
      </c>
      <c r="N488">
        <v>5</v>
      </c>
      <c r="O488">
        <v>137185.5</v>
      </c>
    </row>
    <row r="489" spans="1:15" x14ac:dyDescent="0.35">
      <c r="A489" t="s">
        <v>15</v>
      </c>
      <c r="B489" t="s">
        <v>16</v>
      </c>
      <c r="C489" t="s">
        <v>82</v>
      </c>
      <c r="D489" t="s">
        <v>1383</v>
      </c>
      <c r="E489" t="s">
        <v>228</v>
      </c>
      <c r="F489" t="s">
        <v>125</v>
      </c>
      <c r="G489" t="s">
        <v>1384</v>
      </c>
      <c r="H489" t="s">
        <v>41</v>
      </c>
      <c r="I489" t="s">
        <v>58</v>
      </c>
      <c r="J489">
        <v>90</v>
      </c>
      <c r="K489" t="s">
        <v>58</v>
      </c>
      <c r="L489" t="s">
        <v>1748</v>
      </c>
      <c r="M489" t="s">
        <v>110</v>
      </c>
      <c r="N489">
        <v>14</v>
      </c>
      <c r="O489">
        <v>128270</v>
      </c>
    </row>
    <row r="490" spans="1:15" x14ac:dyDescent="0.35">
      <c r="A490" t="s">
        <v>15</v>
      </c>
      <c r="B490" t="s">
        <v>16</v>
      </c>
      <c r="C490" t="s">
        <v>17</v>
      </c>
      <c r="D490" t="s">
        <v>1749</v>
      </c>
      <c r="E490" t="s">
        <v>1750</v>
      </c>
      <c r="F490" t="s">
        <v>441</v>
      </c>
      <c r="G490" t="s">
        <v>1751</v>
      </c>
      <c r="H490" t="s">
        <v>57</v>
      </c>
      <c r="I490" t="s">
        <v>23</v>
      </c>
      <c r="J490" s="1">
        <v>18200</v>
      </c>
      <c r="K490" t="s">
        <v>1752</v>
      </c>
      <c r="L490" t="s">
        <v>1753</v>
      </c>
      <c r="M490" t="s">
        <v>81</v>
      </c>
      <c r="N490">
        <v>10</v>
      </c>
      <c r="O490">
        <v>125043</v>
      </c>
    </row>
    <row r="491" spans="1:15" x14ac:dyDescent="0.35">
      <c r="A491" t="s">
        <v>15</v>
      </c>
      <c r="B491" t="s">
        <v>16</v>
      </c>
      <c r="C491" t="s">
        <v>82</v>
      </c>
      <c r="D491" t="s">
        <v>1754</v>
      </c>
      <c r="E491" t="s">
        <v>1755</v>
      </c>
      <c r="F491" t="s">
        <v>39</v>
      </c>
      <c r="G491" t="s">
        <v>412</v>
      </c>
      <c r="H491" t="s">
        <v>41</v>
      </c>
      <c r="I491" t="s">
        <v>58</v>
      </c>
      <c r="J491">
        <v>360</v>
      </c>
      <c r="K491" t="s">
        <v>1756</v>
      </c>
      <c r="L491" t="s">
        <v>1757</v>
      </c>
      <c r="M491" t="s">
        <v>1758</v>
      </c>
      <c r="O491">
        <v>173540</v>
      </c>
    </row>
    <row r="492" spans="1:15" x14ac:dyDescent="0.35">
      <c r="A492" t="s">
        <v>15</v>
      </c>
      <c r="B492" t="s">
        <v>16</v>
      </c>
      <c r="C492" t="s">
        <v>36</v>
      </c>
      <c r="D492" t="s">
        <v>1759</v>
      </c>
      <c r="E492" t="s">
        <v>1760</v>
      </c>
      <c r="F492" t="s">
        <v>513</v>
      </c>
      <c r="G492" t="s">
        <v>65</v>
      </c>
      <c r="H492" t="s">
        <v>41</v>
      </c>
      <c r="I492" t="s">
        <v>58</v>
      </c>
      <c r="J492">
        <v>900</v>
      </c>
      <c r="K492" t="s">
        <v>1761</v>
      </c>
      <c r="L492" t="s">
        <v>1762</v>
      </c>
      <c r="M492" t="s">
        <v>60</v>
      </c>
      <c r="N492">
        <v>22</v>
      </c>
      <c r="O492">
        <v>172624</v>
      </c>
    </row>
    <row r="493" spans="1:15" x14ac:dyDescent="0.35">
      <c r="A493" t="s">
        <v>15</v>
      </c>
      <c r="B493" t="s">
        <v>16</v>
      </c>
      <c r="C493" t="s">
        <v>36</v>
      </c>
      <c r="D493" t="s">
        <v>1763</v>
      </c>
      <c r="E493" t="s">
        <v>1764</v>
      </c>
      <c r="F493" t="s">
        <v>47</v>
      </c>
      <c r="G493" t="s">
        <v>1765</v>
      </c>
      <c r="H493" t="s">
        <v>41</v>
      </c>
      <c r="I493" t="s">
        <v>61</v>
      </c>
      <c r="J493" t="s">
        <v>58</v>
      </c>
      <c r="K493" t="s">
        <v>965</v>
      </c>
      <c r="L493" t="s">
        <v>1766</v>
      </c>
      <c r="M493" t="s">
        <v>1767</v>
      </c>
      <c r="N493">
        <v>8</v>
      </c>
      <c r="O493">
        <v>138696.5</v>
      </c>
    </row>
    <row r="494" spans="1:15" x14ac:dyDescent="0.35">
      <c r="A494" t="s">
        <v>15</v>
      </c>
      <c r="B494" t="s">
        <v>52</v>
      </c>
      <c r="C494" t="s">
        <v>36</v>
      </c>
      <c r="D494" t="s">
        <v>286</v>
      </c>
      <c r="E494" t="s">
        <v>1690</v>
      </c>
      <c r="F494" t="s">
        <v>39</v>
      </c>
      <c r="G494" t="s">
        <v>90</v>
      </c>
      <c r="H494" t="s">
        <v>57</v>
      </c>
      <c r="I494" t="s">
        <v>58</v>
      </c>
      <c r="J494">
        <v>950</v>
      </c>
      <c r="K494" t="s">
        <v>1768</v>
      </c>
      <c r="L494" t="s">
        <v>1769</v>
      </c>
      <c r="M494" t="s">
        <v>60</v>
      </c>
      <c r="O494">
        <v>156179.5</v>
      </c>
    </row>
    <row r="495" spans="1:15" x14ac:dyDescent="0.35">
      <c r="A495" t="s">
        <v>15</v>
      </c>
      <c r="B495" t="s">
        <v>99</v>
      </c>
      <c r="C495" t="s">
        <v>82</v>
      </c>
      <c r="D495" t="s">
        <v>962</v>
      </c>
      <c r="E495" t="s">
        <v>1770</v>
      </c>
      <c r="F495" t="s">
        <v>125</v>
      </c>
      <c r="G495" t="s">
        <v>964</v>
      </c>
      <c r="H495" t="s">
        <v>41</v>
      </c>
      <c r="I495" t="s">
        <v>61</v>
      </c>
      <c r="J495" t="s">
        <v>58</v>
      </c>
      <c r="K495" t="s">
        <v>965</v>
      </c>
      <c r="L495" t="s">
        <v>1771</v>
      </c>
      <c r="M495" t="s">
        <v>110</v>
      </c>
      <c r="N495">
        <v>14</v>
      </c>
      <c r="O495">
        <v>25211</v>
      </c>
    </row>
    <row r="496" spans="1:15" x14ac:dyDescent="0.35">
      <c r="A496" t="s">
        <v>15</v>
      </c>
      <c r="B496" t="s">
        <v>52</v>
      </c>
      <c r="C496" t="s">
        <v>17</v>
      </c>
      <c r="D496" t="s">
        <v>257</v>
      </c>
      <c r="E496" t="s">
        <v>1694</v>
      </c>
      <c r="F496" t="s">
        <v>196</v>
      </c>
      <c r="G496" t="s">
        <v>90</v>
      </c>
      <c r="H496" t="s">
        <v>41</v>
      </c>
      <c r="I496" t="s">
        <v>23</v>
      </c>
      <c r="J496" s="1">
        <v>5010</v>
      </c>
      <c r="K496" t="s">
        <v>1695</v>
      </c>
      <c r="L496" t="s">
        <v>1772</v>
      </c>
      <c r="M496" t="s">
        <v>60</v>
      </c>
      <c r="N496">
        <v>7</v>
      </c>
      <c r="O496">
        <v>110972</v>
      </c>
    </row>
    <row r="497" spans="1:15" x14ac:dyDescent="0.35">
      <c r="A497" t="s">
        <v>15</v>
      </c>
      <c r="B497" t="s">
        <v>16</v>
      </c>
      <c r="C497" t="s">
        <v>61</v>
      </c>
      <c r="D497" t="s">
        <v>1773</v>
      </c>
      <c r="E497" t="s">
        <v>1774</v>
      </c>
      <c r="F497" t="s">
        <v>64</v>
      </c>
      <c r="G497" t="s">
        <v>1775</v>
      </c>
      <c r="H497" t="s">
        <v>73</v>
      </c>
      <c r="I497" t="s">
        <v>61</v>
      </c>
      <c r="J497" s="1">
        <v>19503</v>
      </c>
      <c r="K497" t="s">
        <v>73</v>
      </c>
      <c r="L497" t="s">
        <v>1776</v>
      </c>
      <c r="M497" t="s">
        <v>1777</v>
      </c>
      <c r="N497">
        <v>3</v>
      </c>
      <c r="O497">
        <v>57085</v>
      </c>
    </row>
    <row r="498" spans="1:15" x14ac:dyDescent="0.35">
      <c r="A498" t="s">
        <v>15</v>
      </c>
      <c r="B498" t="s">
        <v>16</v>
      </c>
      <c r="C498" t="s">
        <v>17</v>
      </c>
      <c r="D498" t="s">
        <v>1778</v>
      </c>
      <c r="E498" t="s">
        <v>1779</v>
      </c>
      <c r="F498" t="s">
        <v>39</v>
      </c>
      <c r="G498" t="s">
        <v>1780</v>
      </c>
      <c r="H498" t="s">
        <v>41</v>
      </c>
      <c r="I498" t="s">
        <v>58</v>
      </c>
      <c r="J498">
        <v>150</v>
      </c>
      <c r="K498" t="s">
        <v>58</v>
      </c>
      <c r="L498" t="s">
        <v>1781</v>
      </c>
      <c r="M498" t="s">
        <v>1782</v>
      </c>
      <c r="O498">
        <v>189517</v>
      </c>
    </row>
    <row r="499" spans="1:15" x14ac:dyDescent="0.35">
      <c r="A499" t="s">
        <v>15</v>
      </c>
      <c r="B499" t="s">
        <v>16</v>
      </c>
      <c r="C499" t="s">
        <v>61</v>
      </c>
      <c r="D499" t="s">
        <v>1783</v>
      </c>
      <c r="E499" t="s">
        <v>1784</v>
      </c>
      <c r="F499" t="s">
        <v>277</v>
      </c>
      <c r="G499" t="s">
        <v>1785</v>
      </c>
      <c r="H499" t="s">
        <v>41</v>
      </c>
      <c r="I499" t="s">
        <v>58</v>
      </c>
      <c r="J499" s="1">
        <v>4770</v>
      </c>
      <c r="K499" t="s">
        <v>58</v>
      </c>
      <c r="L499" t="s">
        <v>1786</v>
      </c>
      <c r="M499" t="s">
        <v>1024</v>
      </c>
      <c r="N499">
        <v>12</v>
      </c>
      <c r="O499">
        <v>53099</v>
      </c>
    </row>
    <row r="500" spans="1:15" x14ac:dyDescent="0.35">
      <c r="A500" t="s">
        <v>15</v>
      </c>
      <c r="B500" t="s">
        <v>16</v>
      </c>
      <c r="C500" t="s">
        <v>36</v>
      </c>
      <c r="D500" t="s">
        <v>1787</v>
      </c>
      <c r="E500" t="s">
        <v>248</v>
      </c>
      <c r="F500" t="s">
        <v>431</v>
      </c>
      <c r="G500" t="s">
        <v>249</v>
      </c>
      <c r="H500" t="s">
        <v>115</v>
      </c>
      <c r="I500" t="s">
        <v>58</v>
      </c>
      <c r="J500" s="1">
        <v>1530</v>
      </c>
      <c r="K500" t="s">
        <v>58</v>
      </c>
      <c r="L500" t="s">
        <v>1788</v>
      </c>
      <c r="M500" t="s">
        <v>1789</v>
      </c>
      <c r="N500">
        <v>21</v>
      </c>
      <c r="O500">
        <v>191712.5</v>
      </c>
    </row>
    <row r="501" spans="1:15" x14ac:dyDescent="0.35">
      <c r="A501" t="s">
        <v>15</v>
      </c>
      <c r="B501" t="s">
        <v>16</v>
      </c>
      <c r="C501" t="s">
        <v>36</v>
      </c>
      <c r="D501" t="s">
        <v>1790</v>
      </c>
      <c r="E501" t="s">
        <v>1791</v>
      </c>
      <c r="F501" t="s">
        <v>203</v>
      </c>
      <c r="G501" t="s">
        <v>514</v>
      </c>
      <c r="H501" t="s">
        <v>41</v>
      </c>
      <c r="I501" t="s">
        <v>23</v>
      </c>
      <c r="J501" s="1">
        <v>51070</v>
      </c>
      <c r="K501" t="s">
        <v>23</v>
      </c>
      <c r="L501" t="s">
        <v>1792</v>
      </c>
      <c r="M501" t="s">
        <v>1793</v>
      </c>
      <c r="N501">
        <v>25</v>
      </c>
      <c r="O501">
        <v>178628.5</v>
      </c>
    </row>
    <row r="502" spans="1:15" x14ac:dyDescent="0.35">
      <c r="A502" t="s">
        <v>15</v>
      </c>
      <c r="B502" t="s">
        <v>16</v>
      </c>
      <c r="C502" t="s">
        <v>61</v>
      </c>
      <c r="D502" t="s">
        <v>1794</v>
      </c>
      <c r="E502" t="s">
        <v>94</v>
      </c>
      <c r="F502" t="s">
        <v>1239</v>
      </c>
      <c r="G502" t="s">
        <v>238</v>
      </c>
      <c r="H502" t="s">
        <v>22</v>
      </c>
      <c r="I502" t="s">
        <v>23</v>
      </c>
      <c r="J502" s="1">
        <v>500010</v>
      </c>
      <c r="K502" t="s">
        <v>23</v>
      </c>
      <c r="L502" t="s">
        <v>1795</v>
      </c>
      <c r="M502" t="s">
        <v>300</v>
      </c>
      <c r="N502">
        <v>6</v>
      </c>
      <c r="O502">
        <v>111435</v>
      </c>
    </row>
    <row r="503" spans="1:15" x14ac:dyDescent="0.35">
      <c r="A503" t="s">
        <v>15</v>
      </c>
      <c r="B503" t="s">
        <v>16</v>
      </c>
      <c r="C503" t="s">
        <v>17</v>
      </c>
      <c r="D503" t="s">
        <v>45</v>
      </c>
      <c r="E503" t="s">
        <v>776</v>
      </c>
      <c r="F503" t="s">
        <v>64</v>
      </c>
      <c r="G503" t="s">
        <v>48</v>
      </c>
      <c r="H503" t="s">
        <v>41</v>
      </c>
      <c r="I503" t="s">
        <v>23</v>
      </c>
      <c r="J503" s="1">
        <v>34660</v>
      </c>
      <c r="K503" t="s">
        <v>1796</v>
      </c>
      <c r="L503" t="s">
        <v>1797</v>
      </c>
      <c r="M503" t="s">
        <v>110</v>
      </c>
      <c r="N503">
        <v>3</v>
      </c>
      <c r="O503">
        <v>189449.5</v>
      </c>
    </row>
    <row r="504" spans="1:15" x14ac:dyDescent="0.35">
      <c r="A504" t="s">
        <v>75</v>
      </c>
      <c r="B504" t="s">
        <v>16</v>
      </c>
      <c r="C504" t="s">
        <v>82</v>
      </c>
      <c r="D504" t="s">
        <v>1320</v>
      </c>
      <c r="E504" t="s">
        <v>1798</v>
      </c>
      <c r="F504" t="s">
        <v>89</v>
      </c>
      <c r="G504" t="s">
        <v>1322</v>
      </c>
      <c r="H504" t="s">
        <v>115</v>
      </c>
      <c r="I504" t="s">
        <v>23</v>
      </c>
      <c r="J504" s="1">
        <v>22020</v>
      </c>
      <c r="K504" t="s">
        <v>23</v>
      </c>
      <c r="L504" t="s">
        <v>1799</v>
      </c>
      <c r="M504" t="s">
        <v>200</v>
      </c>
      <c r="O504">
        <v>139476.5</v>
      </c>
    </row>
    <row r="505" spans="1:15" x14ac:dyDescent="0.35">
      <c r="A505" t="s">
        <v>15</v>
      </c>
      <c r="B505" t="s">
        <v>16</v>
      </c>
      <c r="C505" t="s">
        <v>82</v>
      </c>
      <c r="D505" t="s">
        <v>436</v>
      </c>
      <c r="E505" t="s">
        <v>84</v>
      </c>
      <c r="F505" t="s">
        <v>312</v>
      </c>
      <c r="G505" t="s">
        <v>90</v>
      </c>
      <c r="H505" t="s">
        <v>41</v>
      </c>
      <c r="I505" t="s">
        <v>23</v>
      </c>
      <c r="J505" s="1">
        <v>4110</v>
      </c>
      <c r="K505" t="s">
        <v>1800</v>
      </c>
      <c r="L505" t="s">
        <v>1801</v>
      </c>
      <c r="M505" t="s">
        <v>60</v>
      </c>
      <c r="N505">
        <v>4</v>
      </c>
      <c r="O505">
        <v>196419.5</v>
      </c>
    </row>
    <row r="506" spans="1:15" x14ac:dyDescent="0.35">
      <c r="A506" t="s">
        <v>75</v>
      </c>
      <c r="B506" t="s">
        <v>69</v>
      </c>
      <c r="C506" t="s">
        <v>61</v>
      </c>
      <c r="D506" t="s">
        <v>1802</v>
      </c>
      <c r="E506" t="s">
        <v>128</v>
      </c>
      <c r="F506" t="s">
        <v>125</v>
      </c>
      <c r="G506" t="s">
        <v>1803</v>
      </c>
      <c r="H506" t="s">
        <v>41</v>
      </c>
      <c r="I506" t="s">
        <v>23</v>
      </c>
      <c r="J506" s="1">
        <v>492245</v>
      </c>
      <c r="K506" t="s">
        <v>1804</v>
      </c>
      <c r="L506" t="s">
        <v>1805</v>
      </c>
      <c r="M506" t="s">
        <v>81</v>
      </c>
      <c r="N506">
        <v>14</v>
      </c>
      <c r="O506">
        <v>18357.5</v>
      </c>
    </row>
    <row r="507" spans="1:15" x14ac:dyDescent="0.35">
      <c r="A507" t="s">
        <v>15</v>
      </c>
      <c r="B507" t="s">
        <v>16</v>
      </c>
      <c r="C507" t="s">
        <v>82</v>
      </c>
      <c r="D507" t="s">
        <v>1226</v>
      </c>
      <c r="E507" t="s">
        <v>1806</v>
      </c>
      <c r="F507" t="s">
        <v>513</v>
      </c>
      <c r="G507" t="s">
        <v>381</v>
      </c>
      <c r="H507" t="s">
        <v>41</v>
      </c>
      <c r="I507" t="s">
        <v>23</v>
      </c>
      <c r="J507" s="1">
        <v>2540</v>
      </c>
      <c r="K507" t="s">
        <v>23</v>
      </c>
      <c r="L507" t="s">
        <v>1227</v>
      </c>
      <c r="M507" t="s">
        <v>60</v>
      </c>
      <c r="N507">
        <v>22</v>
      </c>
      <c r="O507">
        <v>168972.5</v>
      </c>
    </row>
    <row r="508" spans="1:15" x14ac:dyDescent="0.35">
      <c r="A508" t="s">
        <v>15</v>
      </c>
      <c r="B508" t="s">
        <v>16</v>
      </c>
      <c r="C508" t="s">
        <v>17</v>
      </c>
      <c r="D508" t="s">
        <v>1807</v>
      </c>
      <c r="E508" t="s">
        <v>1808</v>
      </c>
      <c r="F508" t="s">
        <v>39</v>
      </c>
      <c r="G508" t="s">
        <v>1809</v>
      </c>
      <c r="H508" t="s">
        <v>41</v>
      </c>
      <c r="I508" t="s">
        <v>23</v>
      </c>
      <c r="J508" s="1">
        <v>57290</v>
      </c>
      <c r="K508" t="s">
        <v>1810</v>
      </c>
      <c r="L508" t="s">
        <v>1811</v>
      </c>
      <c r="M508" t="s">
        <v>1812</v>
      </c>
      <c r="O508">
        <v>105769</v>
      </c>
    </row>
    <row r="509" spans="1:15" x14ac:dyDescent="0.35">
      <c r="A509" t="s">
        <v>15</v>
      </c>
      <c r="B509" t="s">
        <v>27</v>
      </c>
      <c r="C509" t="s">
        <v>17</v>
      </c>
      <c r="D509" t="s">
        <v>1363</v>
      </c>
      <c r="E509" t="s">
        <v>614</v>
      </c>
      <c r="F509" t="s">
        <v>39</v>
      </c>
      <c r="G509" t="s">
        <v>1342</v>
      </c>
      <c r="H509" t="s">
        <v>41</v>
      </c>
      <c r="I509" t="s">
        <v>58</v>
      </c>
      <c r="J509">
        <v>150</v>
      </c>
      <c r="K509" t="s">
        <v>58</v>
      </c>
      <c r="L509" t="s">
        <v>1813</v>
      </c>
      <c r="M509" t="s">
        <v>60</v>
      </c>
      <c r="O509">
        <v>258479</v>
      </c>
    </row>
    <row r="510" spans="1:15" x14ac:dyDescent="0.35">
      <c r="A510" t="s">
        <v>15</v>
      </c>
      <c r="B510" t="s">
        <v>16</v>
      </c>
      <c r="C510" t="s">
        <v>61</v>
      </c>
      <c r="D510" t="s">
        <v>550</v>
      </c>
      <c r="E510" t="s">
        <v>1814</v>
      </c>
      <c r="F510" t="s">
        <v>244</v>
      </c>
      <c r="G510" t="s">
        <v>65</v>
      </c>
      <c r="H510" t="s">
        <v>41</v>
      </c>
      <c r="I510" t="s">
        <v>23</v>
      </c>
      <c r="J510" s="1">
        <v>10060</v>
      </c>
      <c r="K510" t="s">
        <v>23</v>
      </c>
      <c r="L510" t="s">
        <v>1815</v>
      </c>
      <c r="M510" t="s">
        <v>1816</v>
      </c>
      <c r="N510">
        <v>2</v>
      </c>
      <c r="O510">
        <v>76371</v>
      </c>
    </row>
    <row r="511" spans="1:15" x14ac:dyDescent="0.35">
      <c r="A511" t="s">
        <v>15</v>
      </c>
      <c r="B511" t="s">
        <v>27</v>
      </c>
      <c r="C511" t="s">
        <v>17</v>
      </c>
      <c r="D511" t="s">
        <v>1817</v>
      </c>
      <c r="E511" t="s">
        <v>507</v>
      </c>
      <c r="F511" t="s">
        <v>39</v>
      </c>
      <c r="G511" t="s">
        <v>65</v>
      </c>
      <c r="H511" t="s">
        <v>41</v>
      </c>
      <c r="I511" t="s">
        <v>58</v>
      </c>
      <c r="J511" s="1">
        <v>2020</v>
      </c>
      <c r="K511" t="s">
        <v>58</v>
      </c>
      <c r="L511" t="s">
        <v>1818</v>
      </c>
      <c r="M511" t="s">
        <v>60</v>
      </c>
      <c r="O511">
        <v>155270.5</v>
      </c>
    </row>
    <row r="512" spans="1:15" x14ac:dyDescent="0.35">
      <c r="A512" t="s">
        <v>75</v>
      </c>
      <c r="B512" t="s">
        <v>16</v>
      </c>
      <c r="C512" t="s">
        <v>36</v>
      </c>
      <c r="D512" t="s">
        <v>410</v>
      </c>
      <c r="E512" t="s">
        <v>411</v>
      </c>
      <c r="F512" t="s">
        <v>847</v>
      </c>
      <c r="G512" t="s">
        <v>412</v>
      </c>
      <c r="H512" t="s">
        <v>41</v>
      </c>
      <c r="I512" t="s">
        <v>58</v>
      </c>
      <c r="J512">
        <v>900</v>
      </c>
      <c r="K512" t="s">
        <v>1819</v>
      </c>
      <c r="L512" t="s">
        <v>1820</v>
      </c>
      <c r="M512" t="s">
        <v>60</v>
      </c>
      <c r="N512">
        <v>16</v>
      </c>
      <c r="O512">
        <v>230802</v>
      </c>
    </row>
    <row r="513" spans="1:15" x14ac:dyDescent="0.35">
      <c r="A513" t="s">
        <v>15</v>
      </c>
      <c r="B513" t="s">
        <v>16</v>
      </c>
      <c r="C513" t="s">
        <v>36</v>
      </c>
      <c r="D513" t="s">
        <v>664</v>
      </c>
      <c r="E513" t="s">
        <v>1814</v>
      </c>
      <c r="F513" t="s">
        <v>1239</v>
      </c>
      <c r="G513" t="s">
        <v>79</v>
      </c>
      <c r="H513" t="s">
        <v>41</v>
      </c>
      <c r="I513" t="s">
        <v>23</v>
      </c>
      <c r="J513" s="1">
        <v>94530</v>
      </c>
      <c r="K513" t="s">
        <v>1821</v>
      </c>
      <c r="L513" t="s">
        <v>1822</v>
      </c>
      <c r="M513" t="s">
        <v>51</v>
      </c>
      <c r="N513">
        <v>6</v>
      </c>
      <c r="O513">
        <v>124437.5</v>
      </c>
    </row>
    <row r="514" spans="1:15" x14ac:dyDescent="0.35">
      <c r="A514" t="s">
        <v>75</v>
      </c>
      <c r="B514" t="s">
        <v>16</v>
      </c>
      <c r="C514" t="s">
        <v>82</v>
      </c>
      <c r="D514" t="s">
        <v>1823</v>
      </c>
      <c r="E514" t="s">
        <v>243</v>
      </c>
      <c r="F514" t="s">
        <v>431</v>
      </c>
      <c r="G514" t="s">
        <v>90</v>
      </c>
      <c r="H514" t="s">
        <v>41</v>
      </c>
      <c r="I514" t="s">
        <v>58</v>
      </c>
      <c r="J514">
        <v>150</v>
      </c>
      <c r="K514" t="s">
        <v>58</v>
      </c>
      <c r="L514" t="s">
        <v>1824</v>
      </c>
      <c r="M514" t="s">
        <v>1825</v>
      </c>
      <c r="N514">
        <v>21</v>
      </c>
      <c r="O514">
        <v>178105.5</v>
      </c>
    </row>
    <row r="515" spans="1:15" x14ac:dyDescent="0.35">
      <c r="A515" t="s">
        <v>15</v>
      </c>
      <c r="B515" t="s">
        <v>16</v>
      </c>
      <c r="C515" t="s">
        <v>82</v>
      </c>
      <c r="D515" t="s">
        <v>1826</v>
      </c>
      <c r="E515" t="s">
        <v>243</v>
      </c>
      <c r="F515" t="s">
        <v>125</v>
      </c>
      <c r="G515" t="s">
        <v>65</v>
      </c>
      <c r="H515" t="s">
        <v>41</v>
      </c>
      <c r="I515" t="s">
        <v>58</v>
      </c>
      <c r="J515">
        <v>30</v>
      </c>
      <c r="K515" t="s">
        <v>58</v>
      </c>
      <c r="L515" t="s">
        <v>1827</v>
      </c>
      <c r="M515" t="s">
        <v>300</v>
      </c>
      <c r="N515">
        <v>14</v>
      </c>
      <c r="O515">
        <v>141567.5</v>
      </c>
    </row>
    <row r="516" spans="1:15" x14ac:dyDescent="0.35">
      <c r="A516" t="s">
        <v>15</v>
      </c>
      <c r="B516" t="s">
        <v>27</v>
      </c>
      <c r="C516" t="s">
        <v>82</v>
      </c>
      <c r="D516" t="s">
        <v>1828</v>
      </c>
      <c r="E516" t="s">
        <v>63</v>
      </c>
      <c r="F516" t="s">
        <v>196</v>
      </c>
      <c r="G516" t="s">
        <v>65</v>
      </c>
      <c r="H516" t="s">
        <v>57</v>
      </c>
      <c r="I516" t="s">
        <v>58</v>
      </c>
      <c r="J516" s="1">
        <v>8010</v>
      </c>
      <c r="K516" t="s">
        <v>58</v>
      </c>
      <c r="L516" t="s">
        <v>1829</v>
      </c>
      <c r="M516" t="s">
        <v>147</v>
      </c>
      <c r="N516">
        <v>7</v>
      </c>
      <c r="O516">
        <v>179755</v>
      </c>
    </row>
    <row r="517" spans="1:15" x14ac:dyDescent="0.35">
      <c r="A517" t="s">
        <v>15</v>
      </c>
      <c r="B517" t="s">
        <v>16</v>
      </c>
      <c r="C517" t="s">
        <v>61</v>
      </c>
      <c r="D517" t="s">
        <v>190</v>
      </c>
      <c r="E517" t="s">
        <v>191</v>
      </c>
      <c r="F517" t="s">
        <v>39</v>
      </c>
      <c r="G517" t="s">
        <v>90</v>
      </c>
      <c r="H517" t="s">
        <v>41</v>
      </c>
      <c r="I517" t="s">
        <v>23</v>
      </c>
      <c r="J517" s="1">
        <v>26910</v>
      </c>
      <c r="K517" t="s">
        <v>1830</v>
      </c>
      <c r="L517" t="s">
        <v>1831</v>
      </c>
      <c r="M517" t="s">
        <v>475</v>
      </c>
      <c r="O517">
        <v>72513</v>
      </c>
    </row>
    <row r="518" spans="1:15" x14ac:dyDescent="0.35">
      <c r="A518" t="s">
        <v>15</v>
      </c>
      <c r="B518" t="s">
        <v>52</v>
      </c>
      <c r="C518" t="s">
        <v>17</v>
      </c>
      <c r="D518" t="s">
        <v>1832</v>
      </c>
      <c r="E518" t="s">
        <v>507</v>
      </c>
      <c r="F518" t="s">
        <v>85</v>
      </c>
      <c r="G518" t="s">
        <v>1833</v>
      </c>
      <c r="H518" t="s">
        <v>73</v>
      </c>
      <c r="I518" t="s">
        <v>58</v>
      </c>
      <c r="J518">
        <v>390</v>
      </c>
      <c r="K518" t="s">
        <v>58</v>
      </c>
      <c r="L518" t="s">
        <v>1834</v>
      </c>
      <c r="M518" t="s">
        <v>60</v>
      </c>
      <c r="N518">
        <v>6</v>
      </c>
      <c r="O518">
        <v>123300</v>
      </c>
    </row>
    <row r="519" spans="1:15" x14ac:dyDescent="0.35">
      <c r="A519" t="s">
        <v>15</v>
      </c>
      <c r="B519" t="s">
        <v>16</v>
      </c>
      <c r="C519" t="s">
        <v>17</v>
      </c>
      <c r="D519" t="s">
        <v>392</v>
      </c>
      <c r="E519" t="s">
        <v>1835</v>
      </c>
      <c r="F519" t="s">
        <v>277</v>
      </c>
      <c r="G519" t="s">
        <v>90</v>
      </c>
      <c r="H519" t="s">
        <v>57</v>
      </c>
      <c r="I519" t="s">
        <v>58</v>
      </c>
      <c r="J519">
        <v>780</v>
      </c>
      <c r="K519" t="s">
        <v>395</v>
      </c>
      <c r="L519" t="s">
        <v>1836</v>
      </c>
      <c r="M519" t="s">
        <v>60</v>
      </c>
      <c r="N519">
        <v>12</v>
      </c>
      <c r="O519">
        <v>208244</v>
      </c>
    </row>
    <row r="520" spans="1:15" x14ac:dyDescent="0.35">
      <c r="A520" t="s">
        <v>15</v>
      </c>
      <c r="B520" t="s">
        <v>99</v>
      </c>
      <c r="C520" t="s">
        <v>36</v>
      </c>
      <c r="D520" t="s">
        <v>1837</v>
      </c>
      <c r="E520" t="s">
        <v>1838</v>
      </c>
      <c r="F520" t="s">
        <v>30</v>
      </c>
      <c r="G520" t="s">
        <v>65</v>
      </c>
      <c r="H520" t="s">
        <v>41</v>
      </c>
      <c r="I520" t="s">
        <v>58</v>
      </c>
      <c r="J520" s="1">
        <v>30060</v>
      </c>
      <c r="K520" t="s">
        <v>58</v>
      </c>
      <c r="L520" t="s">
        <v>1839</v>
      </c>
      <c r="M520" t="s">
        <v>1840</v>
      </c>
      <c r="N520">
        <v>15</v>
      </c>
      <c r="O520">
        <v>24227</v>
      </c>
    </row>
    <row r="521" spans="1:15" x14ac:dyDescent="0.35">
      <c r="A521" t="s">
        <v>15</v>
      </c>
      <c r="B521" t="s">
        <v>16</v>
      </c>
      <c r="C521" t="s">
        <v>61</v>
      </c>
      <c r="D521" t="s">
        <v>1841</v>
      </c>
      <c r="E521" t="s">
        <v>1842</v>
      </c>
      <c r="F521" t="s">
        <v>125</v>
      </c>
      <c r="G521" t="s">
        <v>1843</v>
      </c>
      <c r="H521" t="s">
        <v>41</v>
      </c>
      <c r="I521" t="s">
        <v>58</v>
      </c>
      <c r="J521">
        <v>15</v>
      </c>
      <c r="K521" t="s">
        <v>58</v>
      </c>
      <c r="L521" t="s">
        <v>1844</v>
      </c>
      <c r="M521" t="s">
        <v>60</v>
      </c>
      <c r="N521">
        <v>14</v>
      </c>
      <c r="O521">
        <v>182670</v>
      </c>
    </row>
    <row r="522" spans="1:15" x14ac:dyDescent="0.35">
      <c r="A522" t="s">
        <v>15</v>
      </c>
      <c r="B522" t="s">
        <v>52</v>
      </c>
      <c r="C522" t="s">
        <v>82</v>
      </c>
      <c r="D522" t="s">
        <v>1293</v>
      </c>
      <c r="E522" t="s">
        <v>354</v>
      </c>
      <c r="F522" t="s">
        <v>85</v>
      </c>
      <c r="G522" t="s">
        <v>1294</v>
      </c>
      <c r="H522" t="s">
        <v>41</v>
      </c>
      <c r="I522" t="s">
        <v>58</v>
      </c>
      <c r="J522">
        <v>45</v>
      </c>
      <c r="K522" t="s">
        <v>58</v>
      </c>
      <c r="L522" t="s">
        <v>1845</v>
      </c>
      <c r="M522" t="s">
        <v>60</v>
      </c>
      <c r="N522">
        <v>6</v>
      </c>
      <c r="O522">
        <v>150707.5</v>
      </c>
    </row>
    <row r="523" spans="1:15" x14ac:dyDescent="0.35">
      <c r="A523" t="s">
        <v>15</v>
      </c>
      <c r="B523" t="s">
        <v>16</v>
      </c>
      <c r="C523" t="s">
        <v>61</v>
      </c>
      <c r="D523" t="s">
        <v>655</v>
      </c>
      <c r="E523" t="s">
        <v>1331</v>
      </c>
      <c r="F523" t="s">
        <v>196</v>
      </c>
      <c r="G523" t="s">
        <v>656</v>
      </c>
      <c r="H523" t="s">
        <v>115</v>
      </c>
      <c r="I523" t="s">
        <v>23</v>
      </c>
      <c r="J523" s="1">
        <v>300070</v>
      </c>
      <c r="K523" t="s">
        <v>1846</v>
      </c>
      <c r="L523" t="s">
        <v>1847</v>
      </c>
      <c r="M523" t="s">
        <v>1848</v>
      </c>
      <c r="N523">
        <v>7</v>
      </c>
      <c r="O523">
        <v>139705</v>
      </c>
    </row>
    <row r="524" spans="1:15" x14ac:dyDescent="0.35">
      <c r="A524" t="s">
        <v>15</v>
      </c>
      <c r="B524" t="s">
        <v>16</v>
      </c>
      <c r="C524" t="s">
        <v>17</v>
      </c>
      <c r="D524" t="s">
        <v>334</v>
      </c>
      <c r="E524" t="s">
        <v>335</v>
      </c>
      <c r="F524" t="s">
        <v>89</v>
      </c>
      <c r="G524" t="s">
        <v>336</v>
      </c>
      <c r="H524" t="s">
        <v>57</v>
      </c>
      <c r="I524" t="s">
        <v>23</v>
      </c>
      <c r="J524" s="1">
        <v>68430</v>
      </c>
      <c r="K524" t="s">
        <v>23</v>
      </c>
      <c r="L524" t="s">
        <v>337</v>
      </c>
      <c r="M524" t="s">
        <v>338</v>
      </c>
      <c r="O524">
        <v>24205</v>
      </c>
    </row>
    <row r="525" spans="1:15" x14ac:dyDescent="0.35">
      <c r="A525" t="s">
        <v>15</v>
      </c>
      <c r="B525" t="s">
        <v>27</v>
      </c>
      <c r="C525" t="s">
        <v>61</v>
      </c>
      <c r="D525" t="s">
        <v>601</v>
      </c>
      <c r="E525" t="s">
        <v>128</v>
      </c>
      <c r="F525" t="s">
        <v>399</v>
      </c>
      <c r="G525" t="s">
        <v>65</v>
      </c>
      <c r="H525" t="s">
        <v>57</v>
      </c>
      <c r="I525" t="s">
        <v>23</v>
      </c>
      <c r="J525" s="1">
        <v>290770</v>
      </c>
      <c r="K525" t="s">
        <v>1849</v>
      </c>
      <c r="L525" t="s">
        <v>1850</v>
      </c>
      <c r="M525" t="s">
        <v>241</v>
      </c>
      <c r="N525">
        <v>5</v>
      </c>
      <c r="O525">
        <v>42738</v>
      </c>
    </row>
    <row r="526" spans="1:15" x14ac:dyDescent="0.35">
      <c r="A526" t="s">
        <v>15</v>
      </c>
      <c r="B526" t="s">
        <v>16</v>
      </c>
      <c r="C526" t="s">
        <v>61</v>
      </c>
      <c r="D526" t="s">
        <v>579</v>
      </c>
      <c r="E526" t="s">
        <v>248</v>
      </c>
      <c r="F526" t="s">
        <v>312</v>
      </c>
      <c r="G526" t="s">
        <v>580</v>
      </c>
      <c r="H526" t="s">
        <v>41</v>
      </c>
      <c r="I526" t="s">
        <v>23</v>
      </c>
      <c r="J526" s="1">
        <v>27440</v>
      </c>
      <c r="K526" t="s">
        <v>23</v>
      </c>
      <c r="L526" t="s">
        <v>1851</v>
      </c>
      <c r="M526" t="s">
        <v>200</v>
      </c>
      <c r="N526">
        <v>4</v>
      </c>
      <c r="O526">
        <v>134182.5</v>
      </c>
    </row>
    <row r="527" spans="1:15" x14ac:dyDescent="0.35">
      <c r="A527" t="s">
        <v>15</v>
      </c>
      <c r="B527" t="s">
        <v>27</v>
      </c>
      <c r="C527" t="s">
        <v>36</v>
      </c>
      <c r="D527" t="s">
        <v>1852</v>
      </c>
      <c r="E527" t="s">
        <v>1623</v>
      </c>
      <c r="F527" t="s">
        <v>39</v>
      </c>
      <c r="G527" t="s">
        <v>56</v>
      </c>
      <c r="H527" t="s">
        <v>41</v>
      </c>
      <c r="I527" t="s">
        <v>23</v>
      </c>
      <c r="J527" s="1">
        <v>3305</v>
      </c>
      <c r="K527" t="s">
        <v>23</v>
      </c>
      <c r="L527" t="s">
        <v>1853</v>
      </c>
      <c r="M527" t="s">
        <v>189</v>
      </c>
      <c r="O527">
        <v>152213.5</v>
      </c>
    </row>
    <row r="528" spans="1:15" x14ac:dyDescent="0.35">
      <c r="A528" t="s">
        <v>15</v>
      </c>
      <c r="B528" t="s">
        <v>16</v>
      </c>
      <c r="C528" t="s">
        <v>36</v>
      </c>
      <c r="D528" t="s">
        <v>346</v>
      </c>
      <c r="E528" t="s">
        <v>347</v>
      </c>
      <c r="F528" t="s">
        <v>39</v>
      </c>
      <c r="G528" t="s">
        <v>348</v>
      </c>
      <c r="H528" t="s">
        <v>57</v>
      </c>
      <c r="I528" t="s">
        <v>23</v>
      </c>
      <c r="J528" s="1">
        <v>3790</v>
      </c>
      <c r="K528" t="s">
        <v>349</v>
      </c>
      <c r="L528" t="s">
        <v>1854</v>
      </c>
      <c r="M528" t="s">
        <v>60</v>
      </c>
      <c r="O528">
        <v>200938.5</v>
      </c>
    </row>
    <row r="529" spans="1:15" x14ac:dyDescent="0.35">
      <c r="A529" t="s">
        <v>15</v>
      </c>
      <c r="B529" t="s">
        <v>16</v>
      </c>
      <c r="C529" t="s">
        <v>82</v>
      </c>
      <c r="D529" t="s">
        <v>127</v>
      </c>
      <c r="E529" t="s">
        <v>1855</v>
      </c>
      <c r="F529" t="s">
        <v>196</v>
      </c>
      <c r="G529" t="s">
        <v>129</v>
      </c>
      <c r="H529" t="s">
        <v>41</v>
      </c>
      <c r="I529" t="s">
        <v>23</v>
      </c>
      <c r="J529" s="1">
        <v>131970</v>
      </c>
      <c r="K529" t="s">
        <v>1856</v>
      </c>
      <c r="L529" t="s">
        <v>1857</v>
      </c>
      <c r="M529" t="s">
        <v>1858</v>
      </c>
      <c r="N529">
        <v>7</v>
      </c>
      <c r="O529">
        <v>52510</v>
      </c>
    </row>
    <row r="530" spans="1:15" x14ac:dyDescent="0.35">
      <c r="A530" t="s">
        <v>15</v>
      </c>
      <c r="B530" t="s">
        <v>16</v>
      </c>
      <c r="C530" t="s">
        <v>82</v>
      </c>
      <c r="D530" t="s">
        <v>1859</v>
      </c>
      <c r="E530" t="s">
        <v>1860</v>
      </c>
      <c r="F530" t="s">
        <v>89</v>
      </c>
      <c r="G530" t="s">
        <v>1861</v>
      </c>
      <c r="H530" t="s">
        <v>41</v>
      </c>
      <c r="I530" t="s">
        <v>23</v>
      </c>
      <c r="J530" s="1">
        <v>2870</v>
      </c>
      <c r="K530" t="s">
        <v>23</v>
      </c>
      <c r="L530" t="s">
        <v>1862</v>
      </c>
      <c r="M530" t="s">
        <v>1863</v>
      </c>
      <c r="O530">
        <v>146140</v>
      </c>
    </row>
    <row r="531" spans="1:15" x14ac:dyDescent="0.35">
      <c r="A531" t="s">
        <v>15</v>
      </c>
      <c r="B531" t="s">
        <v>16</v>
      </c>
      <c r="C531" t="s">
        <v>61</v>
      </c>
      <c r="D531" t="s">
        <v>1222</v>
      </c>
      <c r="E531" t="s">
        <v>618</v>
      </c>
      <c r="F531" t="s">
        <v>203</v>
      </c>
      <c r="G531" t="s">
        <v>229</v>
      </c>
      <c r="H531" t="s">
        <v>41</v>
      </c>
      <c r="I531" t="s">
        <v>58</v>
      </c>
      <c r="J531" s="1">
        <v>51230</v>
      </c>
      <c r="K531" t="s">
        <v>58</v>
      </c>
      <c r="L531" t="s">
        <v>1864</v>
      </c>
      <c r="M531" t="s">
        <v>274</v>
      </c>
      <c r="N531">
        <v>25</v>
      </c>
      <c r="O531">
        <v>104727</v>
      </c>
    </row>
    <row r="532" spans="1:15" x14ac:dyDescent="0.35">
      <c r="A532" t="s">
        <v>15</v>
      </c>
      <c r="B532" t="s">
        <v>52</v>
      </c>
      <c r="C532" t="s">
        <v>82</v>
      </c>
      <c r="D532" t="s">
        <v>1865</v>
      </c>
      <c r="E532" t="s">
        <v>84</v>
      </c>
      <c r="F532" t="s">
        <v>139</v>
      </c>
      <c r="G532" t="s">
        <v>1075</v>
      </c>
      <c r="H532" t="s">
        <v>41</v>
      </c>
      <c r="I532" t="s">
        <v>58</v>
      </c>
      <c r="J532">
        <v>330</v>
      </c>
      <c r="K532" t="s">
        <v>58</v>
      </c>
      <c r="L532" t="s">
        <v>1866</v>
      </c>
      <c r="M532" t="s">
        <v>60</v>
      </c>
      <c r="N532">
        <v>13</v>
      </c>
      <c r="O532">
        <v>87643</v>
      </c>
    </row>
    <row r="533" spans="1:15" x14ac:dyDescent="0.35">
      <c r="A533" t="s">
        <v>15</v>
      </c>
      <c r="B533" t="s">
        <v>27</v>
      </c>
      <c r="C533" t="s">
        <v>17</v>
      </c>
      <c r="D533" t="s">
        <v>1263</v>
      </c>
      <c r="E533" t="s">
        <v>507</v>
      </c>
      <c r="F533" t="s">
        <v>78</v>
      </c>
      <c r="G533" t="s">
        <v>72</v>
      </c>
      <c r="H533" t="s">
        <v>41</v>
      </c>
      <c r="I533" t="s">
        <v>58</v>
      </c>
      <c r="J533">
        <v>180</v>
      </c>
      <c r="K533" t="s">
        <v>58</v>
      </c>
      <c r="L533" t="s">
        <v>1867</v>
      </c>
      <c r="M533" t="s">
        <v>60</v>
      </c>
      <c r="N533">
        <v>9</v>
      </c>
      <c r="O533">
        <v>191800</v>
      </c>
    </row>
    <row r="534" spans="1:15" x14ac:dyDescent="0.35">
      <c r="A534" t="s">
        <v>15</v>
      </c>
      <c r="B534" t="s">
        <v>16</v>
      </c>
      <c r="C534" t="s">
        <v>82</v>
      </c>
      <c r="D534" t="s">
        <v>1868</v>
      </c>
      <c r="E534" t="s">
        <v>1869</v>
      </c>
      <c r="F534" t="s">
        <v>125</v>
      </c>
      <c r="G534" t="s">
        <v>90</v>
      </c>
      <c r="H534" t="s">
        <v>57</v>
      </c>
      <c r="I534" t="s">
        <v>58</v>
      </c>
      <c r="J534">
        <v>240</v>
      </c>
      <c r="K534" t="s">
        <v>58</v>
      </c>
      <c r="L534" t="s">
        <v>1870</v>
      </c>
      <c r="M534" t="s">
        <v>60</v>
      </c>
      <c r="N534">
        <v>14</v>
      </c>
      <c r="O534">
        <v>173535</v>
      </c>
    </row>
    <row r="535" spans="1:15" x14ac:dyDescent="0.35">
      <c r="A535" t="s">
        <v>15</v>
      </c>
      <c r="B535" t="s">
        <v>16</v>
      </c>
      <c r="C535" t="s">
        <v>17</v>
      </c>
      <c r="D535" t="s">
        <v>1871</v>
      </c>
      <c r="E535" t="s">
        <v>1872</v>
      </c>
      <c r="F535" t="s">
        <v>30</v>
      </c>
      <c r="G535" t="s">
        <v>249</v>
      </c>
      <c r="H535" t="s">
        <v>41</v>
      </c>
      <c r="I535" t="s">
        <v>58</v>
      </c>
      <c r="J535">
        <v>950</v>
      </c>
      <c r="K535" t="s">
        <v>58</v>
      </c>
      <c r="L535" t="s">
        <v>1873</v>
      </c>
      <c r="M535" t="s">
        <v>1874</v>
      </c>
      <c r="N535">
        <v>15</v>
      </c>
      <c r="O535">
        <v>2739979</v>
      </c>
    </row>
    <row r="536" spans="1:15" x14ac:dyDescent="0.35">
      <c r="A536" t="s">
        <v>15</v>
      </c>
      <c r="B536" t="s">
        <v>99</v>
      </c>
      <c r="C536" t="s">
        <v>17</v>
      </c>
      <c r="D536" t="s">
        <v>1875</v>
      </c>
      <c r="E536" t="s">
        <v>335</v>
      </c>
      <c r="F536" t="s">
        <v>341</v>
      </c>
      <c r="G536" t="s">
        <v>514</v>
      </c>
      <c r="H536" t="s">
        <v>41</v>
      </c>
      <c r="I536" t="s">
        <v>23</v>
      </c>
      <c r="J536" s="1">
        <v>195020</v>
      </c>
      <c r="K536" t="s">
        <v>1876</v>
      </c>
      <c r="L536" t="s">
        <v>1877</v>
      </c>
      <c r="M536" t="s">
        <v>1878</v>
      </c>
      <c r="N536">
        <v>2</v>
      </c>
      <c r="O536">
        <v>34805</v>
      </c>
    </row>
    <row r="537" spans="1:15" x14ac:dyDescent="0.35">
      <c r="A537" t="s">
        <v>15</v>
      </c>
      <c r="B537" t="s">
        <v>16</v>
      </c>
      <c r="C537" t="s">
        <v>82</v>
      </c>
      <c r="D537" t="s">
        <v>1879</v>
      </c>
      <c r="E537" t="s">
        <v>1880</v>
      </c>
      <c r="F537" t="s">
        <v>47</v>
      </c>
      <c r="G537" t="s">
        <v>1881</v>
      </c>
      <c r="H537" t="s">
        <v>115</v>
      </c>
      <c r="I537" t="s">
        <v>23</v>
      </c>
      <c r="J537" s="1">
        <v>4570</v>
      </c>
      <c r="K537" t="s">
        <v>23</v>
      </c>
      <c r="L537" t="s">
        <v>1882</v>
      </c>
      <c r="M537" t="s">
        <v>60</v>
      </c>
      <c r="N537">
        <v>8</v>
      </c>
      <c r="O537">
        <v>168972</v>
      </c>
    </row>
    <row r="538" spans="1:15" x14ac:dyDescent="0.35">
      <c r="A538" t="s">
        <v>15</v>
      </c>
      <c r="B538" t="s">
        <v>69</v>
      </c>
      <c r="C538" t="s">
        <v>61</v>
      </c>
      <c r="D538" t="s">
        <v>812</v>
      </c>
      <c r="E538" t="s">
        <v>1814</v>
      </c>
      <c r="F538" t="s">
        <v>341</v>
      </c>
      <c r="G538" t="s">
        <v>814</v>
      </c>
      <c r="H538" t="s">
        <v>57</v>
      </c>
      <c r="I538" t="s">
        <v>23</v>
      </c>
      <c r="J538" s="1">
        <v>60020</v>
      </c>
      <c r="K538" t="s">
        <v>1883</v>
      </c>
      <c r="L538" t="s">
        <v>1884</v>
      </c>
      <c r="M538" t="s">
        <v>1885</v>
      </c>
      <c r="N538">
        <v>2</v>
      </c>
      <c r="O538">
        <v>59680</v>
      </c>
    </row>
    <row r="539" spans="1:15" x14ac:dyDescent="0.35">
      <c r="A539" t="s">
        <v>15</v>
      </c>
      <c r="B539" t="s">
        <v>16</v>
      </c>
      <c r="C539" t="s">
        <v>82</v>
      </c>
      <c r="D539" t="s">
        <v>799</v>
      </c>
      <c r="E539" t="s">
        <v>416</v>
      </c>
      <c r="F539" t="s">
        <v>196</v>
      </c>
      <c r="G539" t="s">
        <v>801</v>
      </c>
      <c r="H539" t="s">
        <v>57</v>
      </c>
      <c r="I539" t="s">
        <v>23</v>
      </c>
      <c r="J539" s="1">
        <v>7290</v>
      </c>
      <c r="K539" t="s">
        <v>23</v>
      </c>
      <c r="L539" t="s">
        <v>1886</v>
      </c>
      <c r="M539" t="s">
        <v>1887</v>
      </c>
      <c r="N539">
        <v>7</v>
      </c>
      <c r="O539">
        <v>146395.5</v>
      </c>
    </row>
    <row r="540" spans="1:15" x14ac:dyDescent="0.35">
      <c r="A540" t="s">
        <v>15</v>
      </c>
      <c r="B540" t="s">
        <v>16</v>
      </c>
      <c r="C540" t="s">
        <v>61</v>
      </c>
      <c r="D540" t="s">
        <v>539</v>
      </c>
      <c r="E540" t="s">
        <v>540</v>
      </c>
      <c r="F540" t="s">
        <v>513</v>
      </c>
      <c r="G540" t="s">
        <v>86</v>
      </c>
      <c r="H540" t="s">
        <v>41</v>
      </c>
      <c r="I540" t="s">
        <v>23</v>
      </c>
      <c r="J540" s="1">
        <v>222490</v>
      </c>
      <c r="K540" t="s">
        <v>23</v>
      </c>
      <c r="L540" t="s">
        <v>1888</v>
      </c>
      <c r="M540" t="s">
        <v>1889</v>
      </c>
      <c r="N540">
        <v>22</v>
      </c>
      <c r="O540">
        <v>135178</v>
      </c>
    </row>
    <row r="541" spans="1:15" x14ac:dyDescent="0.35">
      <c r="A541" t="s">
        <v>15</v>
      </c>
      <c r="B541" t="s">
        <v>16</v>
      </c>
      <c r="C541" t="s">
        <v>61</v>
      </c>
      <c r="D541" t="s">
        <v>772</v>
      </c>
      <c r="E541" t="s">
        <v>228</v>
      </c>
      <c r="F541" t="s">
        <v>244</v>
      </c>
      <c r="G541" t="s">
        <v>773</v>
      </c>
      <c r="H541" t="s">
        <v>41</v>
      </c>
      <c r="I541" t="s">
        <v>23</v>
      </c>
      <c r="J541" s="1">
        <v>55030</v>
      </c>
      <c r="K541" t="s">
        <v>1890</v>
      </c>
      <c r="L541" t="s">
        <v>1891</v>
      </c>
      <c r="M541" t="s">
        <v>118</v>
      </c>
      <c r="N541">
        <v>2</v>
      </c>
      <c r="O541">
        <v>100472</v>
      </c>
    </row>
    <row r="542" spans="1:15" x14ac:dyDescent="0.35">
      <c r="A542" t="s">
        <v>15</v>
      </c>
      <c r="B542" t="s">
        <v>99</v>
      </c>
      <c r="C542" t="s">
        <v>82</v>
      </c>
      <c r="D542" t="s">
        <v>962</v>
      </c>
      <c r="E542" t="s">
        <v>1892</v>
      </c>
      <c r="F542" t="s">
        <v>125</v>
      </c>
      <c r="G542" t="s">
        <v>964</v>
      </c>
      <c r="H542" t="s">
        <v>41</v>
      </c>
      <c r="I542" t="s">
        <v>61</v>
      </c>
      <c r="J542" t="s">
        <v>58</v>
      </c>
      <c r="K542" t="s">
        <v>965</v>
      </c>
      <c r="L542" t="s">
        <v>1771</v>
      </c>
      <c r="M542" t="s">
        <v>110</v>
      </c>
      <c r="N542">
        <v>14</v>
      </c>
      <c r="O542">
        <v>25211</v>
      </c>
    </row>
    <row r="543" spans="1:15" x14ac:dyDescent="0.35">
      <c r="A543" t="s">
        <v>15</v>
      </c>
      <c r="B543" t="s">
        <v>99</v>
      </c>
      <c r="C543" t="s">
        <v>61</v>
      </c>
      <c r="D543" t="s">
        <v>1893</v>
      </c>
      <c r="E543" t="s">
        <v>646</v>
      </c>
      <c r="F543" t="s">
        <v>196</v>
      </c>
      <c r="G543" t="s">
        <v>647</v>
      </c>
      <c r="H543" t="s">
        <v>41</v>
      </c>
      <c r="I543" t="s">
        <v>58</v>
      </c>
      <c r="J543" s="1">
        <v>3682</v>
      </c>
      <c r="K543" t="s">
        <v>58</v>
      </c>
      <c r="L543" t="s">
        <v>1894</v>
      </c>
      <c r="M543" t="s">
        <v>81</v>
      </c>
      <c r="N543">
        <v>7</v>
      </c>
      <c r="O543">
        <v>83973</v>
      </c>
    </row>
    <row r="544" spans="1:15" x14ac:dyDescent="0.35">
      <c r="A544" t="s">
        <v>75</v>
      </c>
      <c r="B544" t="s">
        <v>52</v>
      </c>
      <c r="C544" t="s">
        <v>36</v>
      </c>
      <c r="D544" t="s">
        <v>927</v>
      </c>
      <c r="E544" t="s">
        <v>1895</v>
      </c>
      <c r="F544" t="s">
        <v>85</v>
      </c>
      <c r="G544" t="s">
        <v>86</v>
      </c>
      <c r="H544" t="s">
        <v>22</v>
      </c>
      <c r="I544" t="s">
        <v>23</v>
      </c>
      <c r="J544" s="1">
        <v>17030</v>
      </c>
      <c r="K544" t="s">
        <v>23</v>
      </c>
      <c r="L544" t="s">
        <v>1896</v>
      </c>
      <c r="M544" t="s">
        <v>60</v>
      </c>
      <c r="N544">
        <v>6</v>
      </c>
      <c r="O544">
        <v>165773.5</v>
      </c>
    </row>
    <row r="545" spans="1:15" x14ac:dyDescent="0.35">
      <c r="A545" t="s">
        <v>15</v>
      </c>
      <c r="B545" t="s">
        <v>16</v>
      </c>
      <c r="C545" t="s">
        <v>82</v>
      </c>
      <c r="D545" t="s">
        <v>223</v>
      </c>
      <c r="E545" t="s">
        <v>358</v>
      </c>
      <c r="F545" t="s">
        <v>431</v>
      </c>
      <c r="G545" t="s">
        <v>90</v>
      </c>
      <c r="H545" t="s">
        <v>41</v>
      </c>
      <c r="I545" t="s">
        <v>23</v>
      </c>
      <c r="J545" s="1">
        <v>5260</v>
      </c>
      <c r="K545" t="s">
        <v>1897</v>
      </c>
      <c r="L545" t="s">
        <v>1898</v>
      </c>
      <c r="M545" t="s">
        <v>60</v>
      </c>
      <c r="N545">
        <v>21</v>
      </c>
      <c r="O545">
        <v>306626</v>
      </c>
    </row>
    <row r="546" spans="1:15" x14ac:dyDescent="0.35">
      <c r="A546" t="s">
        <v>15</v>
      </c>
      <c r="B546" t="s">
        <v>16</v>
      </c>
      <c r="C546" t="s">
        <v>82</v>
      </c>
      <c r="D546" t="s">
        <v>1899</v>
      </c>
      <c r="E546" t="s">
        <v>161</v>
      </c>
      <c r="F546" t="s">
        <v>312</v>
      </c>
      <c r="G546" t="s">
        <v>150</v>
      </c>
      <c r="H546" t="s">
        <v>41</v>
      </c>
      <c r="I546" t="s">
        <v>23</v>
      </c>
      <c r="J546" s="1">
        <v>2280</v>
      </c>
      <c r="K546" t="s">
        <v>23</v>
      </c>
      <c r="L546" t="s">
        <v>1900</v>
      </c>
      <c r="M546" t="s">
        <v>110</v>
      </c>
      <c r="N546">
        <v>4</v>
      </c>
      <c r="O546">
        <v>75103</v>
      </c>
    </row>
    <row r="547" spans="1:15" x14ac:dyDescent="0.35">
      <c r="A547" t="s">
        <v>15</v>
      </c>
      <c r="B547" t="s">
        <v>16</v>
      </c>
      <c r="C547" t="s">
        <v>17</v>
      </c>
      <c r="D547" t="s">
        <v>1901</v>
      </c>
      <c r="E547" t="s">
        <v>1902</v>
      </c>
      <c r="F547" t="s">
        <v>277</v>
      </c>
      <c r="G547" t="s">
        <v>1903</v>
      </c>
      <c r="H547" t="s">
        <v>41</v>
      </c>
      <c r="I547" t="s">
        <v>58</v>
      </c>
      <c r="J547">
        <v>15</v>
      </c>
      <c r="K547" t="s">
        <v>58</v>
      </c>
      <c r="L547" t="s">
        <v>1904</v>
      </c>
      <c r="M547" t="s">
        <v>60</v>
      </c>
      <c r="N547">
        <v>12</v>
      </c>
      <c r="O547">
        <v>191805.5</v>
      </c>
    </row>
    <row r="548" spans="1:15" x14ac:dyDescent="0.35">
      <c r="A548" t="s">
        <v>15</v>
      </c>
      <c r="B548" t="s">
        <v>16</v>
      </c>
      <c r="C548" t="s">
        <v>61</v>
      </c>
      <c r="D548" t="s">
        <v>1681</v>
      </c>
      <c r="E548" t="s">
        <v>1269</v>
      </c>
      <c r="F548" t="s">
        <v>244</v>
      </c>
      <c r="G548" t="s">
        <v>1682</v>
      </c>
      <c r="H548" t="s">
        <v>41</v>
      </c>
      <c r="I548" t="s">
        <v>23</v>
      </c>
      <c r="J548" s="1">
        <v>16060</v>
      </c>
      <c r="K548" t="s">
        <v>23</v>
      </c>
      <c r="L548" t="s">
        <v>1905</v>
      </c>
      <c r="M548" t="s">
        <v>1906</v>
      </c>
      <c r="N548">
        <v>2</v>
      </c>
      <c r="O548">
        <v>108875</v>
      </c>
    </row>
    <row r="549" spans="1:15" x14ac:dyDescent="0.35">
      <c r="A549" t="s">
        <v>15</v>
      </c>
      <c r="B549" t="s">
        <v>16</v>
      </c>
      <c r="C549" t="s">
        <v>36</v>
      </c>
      <c r="D549" t="s">
        <v>1907</v>
      </c>
      <c r="E549" t="s">
        <v>128</v>
      </c>
      <c r="F549" t="s">
        <v>244</v>
      </c>
      <c r="G549" t="s">
        <v>1908</v>
      </c>
      <c r="H549" t="s">
        <v>41</v>
      </c>
      <c r="I549" t="s">
        <v>23</v>
      </c>
      <c r="J549" s="1">
        <v>125010</v>
      </c>
      <c r="K549" t="s">
        <v>23</v>
      </c>
      <c r="L549" t="s">
        <v>1909</v>
      </c>
      <c r="M549" t="s">
        <v>1910</v>
      </c>
      <c r="N549">
        <v>2</v>
      </c>
      <c r="O549">
        <v>23903</v>
      </c>
    </row>
    <row r="550" spans="1:15" x14ac:dyDescent="0.35">
      <c r="A550" t="s">
        <v>75</v>
      </c>
      <c r="B550" t="s">
        <v>52</v>
      </c>
      <c r="C550" t="s">
        <v>36</v>
      </c>
      <c r="D550" t="s">
        <v>410</v>
      </c>
      <c r="E550" t="s">
        <v>411</v>
      </c>
      <c r="F550" t="s">
        <v>847</v>
      </c>
      <c r="G550" t="s">
        <v>412</v>
      </c>
      <c r="H550" t="s">
        <v>41</v>
      </c>
      <c r="I550" t="s">
        <v>58</v>
      </c>
      <c r="J550">
        <v>900</v>
      </c>
      <c r="K550" t="s">
        <v>413</v>
      </c>
      <c r="L550" t="s">
        <v>1911</v>
      </c>
      <c r="M550" t="s">
        <v>60</v>
      </c>
      <c r="N550">
        <v>16</v>
      </c>
      <c r="O550">
        <v>157919.5</v>
      </c>
    </row>
    <row r="551" spans="1:15" x14ac:dyDescent="0.35">
      <c r="A551" t="s">
        <v>15</v>
      </c>
      <c r="B551" t="s">
        <v>16</v>
      </c>
      <c r="C551" t="s">
        <v>17</v>
      </c>
      <c r="D551" t="s">
        <v>18</v>
      </c>
      <c r="E551" t="s">
        <v>1912</v>
      </c>
      <c r="F551" t="s">
        <v>1149</v>
      </c>
      <c r="G551" t="s">
        <v>21</v>
      </c>
      <c r="H551" t="s">
        <v>22</v>
      </c>
      <c r="I551" t="s">
        <v>23</v>
      </c>
      <c r="J551" t="s">
        <v>24</v>
      </c>
      <c r="K551" t="s">
        <v>23</v>
      </c>
      <c r="L551" t="s">
        <v>1913</v>
      </c>
      <c r="M551" t="s">
        <v>26</v>
      </c>
      <c r="N551">
        <v>18</v>
      </c>
      <c r="O551">
        <v>123300</v>
      </c>
    </row>
    <row r="552" spans="1:15" x14ac:dyDescent="0.35">
      <c r="A552" t="s">
        <v>15</v>
      </c>
      <c r="B552" t="s">
        <v>27</v>
      </c>
      <c r="C552" t="s">
        <v>61</v>
      </c>
      <c r="D552" t="s">
        <v>1914</v>
      </c>
      <c r="E552" t="s">
        <v>128</v>
      </c>
      <c r="F552" t="s">
        <v>39</v>
      </c>
      <c r="G552" t="s">
        <v>946</v>
      </c>
      <c r="H552" t="s">
        <v>22</v>
      </c>
      <c r="I552" t="s">
        <v>23</v>
      </c>
      <c r="J552" s="1">
        <v>409060</v>
      </c>
      <c r="K552" t="s">
        <v>1915</v>
      </c>
      <c r="L552" t="s">
        <v>1916</v>
      </c>
      <c r="M552" t="s">
        <v>1917</v>
      </c>
      <c r="O552">
        <v>45081.5</v>
      </c>
    </row>
    <row r="553" spans="1:15" x14ac:dyDescent="0.35">
      <c r="A553" t="s">
        <v>15</v>
      </c>
      <c r="B553" t="s">
        <v>99</v>
      </c>
      <c r="C553" t="s">
        <v>17</v>
      </c>
      <c r="D553" t="s">
        <v>1918</v>
      </c>
      <c r="E553" t="s">
        <v>1919</v>
      </c>
      <c r="F553" t="s">
        <v>20</v>
      </c>
      <c r="G553" t="s">
        <v>921</v>
      </c>
      <c r="H553" t="s">
        <v>41</v>
      </c>
      <c r="I553" t="s">
        <v>23</v>
      </c>
      <c r="J553" s="1">
        <v>27060</v>
      </c>
      <c r="K553" t="s">
        <v>23</v>
      </c>
      <c r="L553" t="s">
        <v>1920</v>
      </c>
      <c r="M553" t="s">
        <v>1921</v>
      </c>
      <c r="N553">
        <v>17</v>
      </c>
      <c r="O553">
        <v>115813.5</v>
      </c>
    </row>
    <row r="554" spans="1:15" x14ac:dyDescent="0.35">
      <c r="A554" t="s">
        <v>15</v>
      </c>
      <c r="B554" t="s">
        <v>16</v>
      </c>
      <c r="C554" t="s">
        <v>17</v>
      </c>
      <c r="D554" t="s">
        <v>836</v>
      </c>
      <c r="E554" t="s">
        <v>1922</v>
      </c>
      <c r="F554" t="s">
        <v>125</v>
      </c>
      <c r="G554" t="s">
        <v>838</v>
      </c>
      <c r="H554" t="s">
        <v>41</v>
      </c>
      <c r="I554" t="s">
        <v>23</v>
      </c>
      <c r="J554" s="1">
        <v>132070</v>
      </c>
      <c r="K554" t="s">
        <v>1923</v>
      </c>
      <c r="L554" t="s">
        <v>1924</v>
      </c>
      <c r="M554" t="s">
        <v>1925</v>
      </c>
      <c r="N554">
        <v>14</v>
      </c>
      <c r="O554">
        <v>22839</v>
      </c>
    </row>
    <row r="555" spans="1:15" x14ac:dyDescent="0.35">
      <c r="A555" t="s">
        <v>15</v>
      </c>
      <c r="B555" t="s">
        <v>69</v>
      </c>
      <c r="C555" t="s">
        <v>61</v>
      </c>
      <c r="D555" t="s">
        <v>70</v>
      </c>
      <c r="E555" t="s">
        <v>71</v>
      </c>
      <c r="F555" t="s">
        <v>244</v>
      </c>
      <c r="G555" t="s">
        <v>72</v>
      </c>
      <c r="H555" t="s">
        <v>73</v>
      </c>
      <c r="I555" t="s">
        <v>61</v>
      </c>
      <c r="J555" s="1">
        <v>17441</v>
      </c>
      <c r="K555" t="s">
        <v>73</v>
      </c>
      <c r="L555" t="s">
        <v>1926</v>
      </c>
      <c r="M555" t="s">
        <v>81</v>
      </c>
      <c r="N555">
        <v>2</v>
      </c>
      <c r="O555">
        <v>144768</v>
      </c>
    </row>
    <row r="556" spans="1:15" x14ac:dyDescent="0.35">
      <c r="A556" t="s">
        <v>15</v>
      </c>
      <c r="B556" t="s">
        <v>99</v>
      </c>
      <c r="C556" t="s">
        <v>82</v>
      </c>
      <c r="D556" t="s">
        <v>962</v>
      </c>
      <c r="E556" t="s">
        <v>1927</v>
      </c>
      <c r="F556" t="s">
        <v>125</v>
      </c>
      <c r="G556" t="s">
        <v>964</v>
      </c>
      <c r="H556" t="s">
        <v>41</v>
      </c>
      <c r="I556" t="s">
        <v>61</v>
      </c>
      <c r="J556" t="s">
        <v>58</v>
      </c>
      <c r="K556" t="s">
        <v>965</v>
      </c>
      <c r="L556" t="s">
        <v>1928</v>
      </c>
      <c r="M556" t="s">
        <v>110</v>
      </c>
      <c r="N556">
        <v>14</v>
      </c>
      <c r="O556">
        <v>25216</v>
      </c>
    </row>
    <row r="557" spans="1:15" x14ac:dyDescent="0.35">
      <c r="A557" t="s">
        <v>15</v>
      </c>
      <c r="B557" t="s">
        <v>69</v>
      </c>
      <c r="C557" t="s">
        <v>61</v>
      </c>
      <c r="D557" t="s">
        <v>1929</v>
      </c>
      <c r="E557" t="s">
        <v>974</v>
      </c>
      <c r="F557" t="s">
        <v>399</v>
      </c>
      <c r="G557" t="s">
        <v>229</v>
      </c>
      <c r="H557" t="s">
        <v>57</v>
      </c>
      <c r="I557" t="s">
        <v>58</v>
      </c>
      <c r="J557" s="1">
        <v>312040</v>
      </c>
      <c r="K557" t="s">
        <v>58</v>
      </c>
      <c r="L557" t="s">
        <v>1930</v>
      </c>
      <c r="M557" t="s">
        <v>1931</v>
      </c>
      <c r="N557">
        <v>5</v>
      </c>
      <c r="O557">
        <v>28045</v>
      </c>
    </row>
    <row r="558" spans="1:15" x14ac:dyDescent="0.35">
      <c r="A558" t="s">
        <v>15</v>
      </c>
      <c r="B558" t="s">
        <v>16</v>
      </c>
      <c r="C558" t="s">
        <v>82</v>
      </c>
      <c r="D558" t="s">
        <v>1265</v>
      </c>
      <c r="E558" t="s">
        <v>1932</v>
      </c>
      <c r="F558" t="s">
        <v>237</v>
      </c>
      <c r="G558" t="s">
        <v>594</v>
      </c>
      <c r="H558" t="s">
        <v>41</v>
      </c>
      <c r="I558" t="s">
        <v>58</v>
      </c>
      <c r="J558">
        <v>900</v>
      </c>
      <c r="K558" t="s">
        <v>58</v>
      </c>
      <c r="L558" t="s">
        <v>1933</v>
      </c>
      <c r="M558" t="s">
        <v>60</v>
      </c>
      <c r="N558">
        <v>20</v>
      </c>
      <c r="O558">
        <v>39023</v>
      </c>
    </row>
    <row r="559" spans="1:15" x14ac:dyDescent="0.35">
      <c r="A559" t="s">
        <v>15</v>
      </c>
      <c r="B559" t="s">
        <v>16</v>
      </c>
      <c r="C559" t="s">
        <v>36</v>
      </c>
      <c r="D559" t="s">
        <v>762</v>
      </c>
      <c r="E559" t="s">
        <v>1838</v>
      </c>
      <c r="F559" t="s">
        <v>47</v>
      </c>
      <c r="G559" t="s">
        <v>764</v>
      </c>
      <c r="H559" t="s">
        <v>115</v>
      </c>
      <c r="I559" t="s">
        <v>23</v>
      </c>
      <c r="J559" s="1">
        <v>37950</v>
      </c>
      <c r="K559" t="s">
        <v>23</v>
      </c>
      <c r="L559" t="s">
        <v>1934</v>
      </c>
      <c r="M559" t="s">
        <v>1935</v>
      </c>
      <c r="N559">
        <v>8</v>
      </c>
      <c r="O559">
        <v>31353</v>
      </c>
    </row>
    <row r="560" spans="1:15" x14ac:dyDescent="0.35">
      <c r="A560" t="s">
        <v>15</v>
      </c>
      <c r="B560" t="s">
        <v>27</v>
      </c>
      <c r="C560" t="s">
        <v>36</v>
      </c>
      <c r="D560" t="s">
        <v>1531</v>
      </c>
      <c r="E560" t="s">
        <v>248</v>
      </c>
      <c r="F560" t="s">
        <v>55</v>
      </c>
      <c r="G560" t="s">
        <v>412</v>
      </c>
      <c r="H560" t="s">
        <v>41</v>
      </c>
      <c r="I560" t="s">
        <v>23</v>
      </c>
      <c r="J560" s="1">
        <v>17070</v>
      </c>
      <c r="K560" t="s">
        <v>1936</v>
      </c>
      <c r="L560" t="s">
        <v>1937</v>
      </c>
      <c r="M560" t="s">
        <v>206</v>
      </c>
      <c r="N560">
        <v>3</v>
      </c>
      <c r="O560">
        <v>145221</v>
      </c>
    </row>
    <row r="561" spans="1:15" x14ac:dyDescent="0.35">
      <c r="A561" t="s">
        <v>15</v>
      </c>
      <c r="B561" t="s">
        <v>27</v>
      </c>
      <c r="C561" t="s">
        <v>82</v>
      </c>
      <c r="D561" t="s">
        <v>1938</v>
      </c>
      <c r="E561" t="s">
        <v>233</v>
      </c>
      <c r="F561" t="s">
        <v>196</v>
      </c>
      <c r="G561" t="s">
        <v>610</v>
      </c>
      <c r="H561" t="s">
        <v>115</v>
      </c>
      <c r="I561" t="s">
        <v>23</v>
      </c>
      <c r="J561" s="1">
        <v>75470</v>
      </c>
      <c r="K561" t="s">
        <v>1939</v>
      </c>
      <c r="L561" t="s">
        <v>1940</v>
      </c>
      <c r="M561" t="s">
        <v>1941</v>
      </c>
      <c r="N561">
        <v>7</v>
      </c>
      <c r="O561">
        <v>149787</v>
      </c>
    </row>
    <row r="562" spans="1:15" x14ac:dyDescent="0.35">
      <c r="A562" t="s">
        <v>15</v>
      </c>
      <c r="B562" t="s">
        <v>16</v>
      </c>
      <c r="C562" t="s">
        <v>36</v>
      </c>
      <c r="D562" t="s">
        <v>1463</v>
      </c>
      <c r="E562" t="s">
        <v>165</v>
      </c>
      <c r="F562" t="s">
        <v>244</v>
      </c>
      <c r="G562" t="s">
        <v>90</v>
      </c>
      <c r="H562" t="s">
        <v>22</v>
      </c>
      <c r="I562" t="s">
        <v>23</v>
      </c>
      <c r="J562" s="1">
        <v>117010</v>
      </c>
      <c r="K562" t="s">
        <v>23</v>
      </c>
      <c r="L562" t="s">
        <v>1942</v>
      </c>
      <c r="M562" t="s">
        <v>1943</v>
      </c>
      <c r="N562">
        <v>2</v>
      </c>
      <c r="O562">
        <v>185231.5</v>
      </c>
    </row>
    <row r="563" spans="1:15" x14ac:dyDescent="0.35">
      <c r="A563" t="s">
        <v>15</v>
      </c>
      <c r="B563" t="s">
        <v>16</v>
      </c>
      <c r="C563" t="s">
        <v>36</v>
      </c>
      <c r="D563" t="s">
        <v>286</v>
      </c>
      <c r="E563" t="s">
        <v>1690</v>
      </c>
      <c r="F563" t="s">
        <v>856</v>
      </c>
      <c r="G563" t="s">
        <v>90</v>
      </c>
      <c r="H563" t="s">
        <v>57</v>
      </c>
      <c r="I563" t="s">
        <v>58</v>
      </c>
      <c r="J563">
        <v>950</v>
      </c>
      <c r="K563" t="s">
        <v>1944</v>
      </c>
      <c r="L563" t="s">
        <v>1945</v>
      </c>
      <c r="M563" t="s">
        <v>60</v>
      </c>
      <c r="N563">
        <v>23</v>
      </c>
      <c r="O563">
        <v>197284</v>
      </c>
    </row>
    <row r="564" spans="1:15" x14ac:dyDescent="0.35">
      <c r="A564" t="s">
        <v>15</v>
      </c>
      <c r="B564" t="s">
        <v>16</v>
      </c>
      <c r="C564" t="s">
        <v>36</v>
      </c>
      <c r="D564" t="s">
        <v>1736</v>
      </c>
      <c r="E564" t="s">
        <v>1946</v>
      </c>
      <c r="F564" t="s">
        <v>312</v>
      </c>
      <c r="G564" t="s">
        <v>412</v>
      </c>
      <c r="H564" t="s">
        <v>41</v>
      </c>
      <c r="I564" t="s">
        <v>23</v>
      </c>
      <c r="J564" s="1">
        <v>258760</v>
      </c>
      <c r="K564" t="s">
        <v>1947</v>
      </c>
      <c r="L564" t="s">
        <v>1948</v>
      </c>
      <c r="M564" t="s">
        <v>51</v>
      </c>
      <c r="N564">
        <v>4</v>
      </c>
      <c r="O564">
        <v>187235.5</v>
      </c>
    </row>
    <row r="565" spans="1:15" x14ac:dyDescent="0.35">
      <c r="A565" t="s">
        <v>15</v>
      </c>
      <c r="B565" t="s">
        <v>16</v>
      </c>
      <c r="C565" t="s">
        <v>36</v>
      </c>
      <c r="D565" t="s">
        <v>18</v>
      </c>
      <c r="E565" t="s">
        <v>855</v>
      </c>
      <c r="F565" t="s">
        <v>847</v>
      </c>
      <c r="G565" t="s">
        <v>21</v>
      </c>
      <c r="H565" t="s">
        <v>22</v>
      </c>
      <c r="I565" t="s">
        <v>23</v>
      </c>
      <c r="J565" t="s">
        <v>24</v>
      </c>
      <c r="K565" t="s">
        <v>23</v>
      </c>
      <c r="L565" t="s">
        <v>1949</v>
      </c>
      <c r="M565" t="s">
        <v>1950</v>
      </c>
      <c r="N565">
        <v>16</v>
      </c>
      <c r="O565">
        <v>213722</v>
      </c>
    </row>
    <row r="566" spans="1:15" x14ac:dyDescent="0.35">
      <c r="A566" t="s">
        <v>15</v>
      </c>
      <c r="B566" t="s">
        <v>16</v>
      </c>
      <c r="C566" t="s">
        <v>36</v>
      </c>
      <c r="D566" t="s">
        <v>1951</v>
      </c>
      <c r="E566" t="s">
        <v>1952</v>
      </c>
      <c r="F566" t="s">
        <v>64</v>
      </c>
      <c r="G566" t="s">
        <v>1953</v>
      </c>
      <c r="H566" t="s">
        <v>57</v>
      </c>
      <c r="I566" t="s">
        <v>23</v>
      </c>
      <c r="J566" s="1">
        <v>29400</v>
      </c>
      <c r="K566" t="s">
        <v>23</v>
      </c>
      <c r="L566" t="s">
        <v>1954</v>
      </c>
      <c r="M566" t="s">
        <v>1955</v>
      </c>
      <c r="N566">
        <v>3</v>
      </c>
      <c r="O566">
        <v>131068</v>
      </c>
    </row>
    <row r="567" spans="1:15" x14ac:dyDescent="0.35">
      <c r="A567" t="s">
        <v>15</v>
      </c>
      <c r="B567" t="s">
        <v>99</v>
      </c>
      <c r="C567" t="s">
        <v>61</v>
      </c>
      <c r="D567" t="s">
        <v>1956</v>
      </c>
      <c r="E567" t="s">
        <v>1957</v>
      </c>
      <c r="F567" t="s">
        <v>113</v>
      </c>
      <c r="G567" t="s">
        <v>1958</v>
      </c>
      <c r="H567" t="s">
        <v>41</v>
      </c>
      <c r="I567" t="s">
        <v>23</v>
      </c>
      <c r="J567" s="1">
        <v>97300</v>
      </c>
      <c r="K567" t="s">
        <v>1959</v>
      </c>
      <c r="L567" t="s">
        <v>1960</v>
      </c>
      <c r="M567" t="s">
        <v>60</v>
      </c>
      <c r="N567">
        <v>19</v>
      </c>
      <c r="O567">
        <v>51293</v>
      </c>
    </row>
    <row r="568" spans="1:15" x14ac:dyDescent="0.35">
      <c r="A568" t="s">
        <v>75</v>
      </c>
      <c r="B568" t="s">
        <v>52</v>
      </c>
      <c r="C568" t="s">
        <v>17</v>
      </c>
      <c r="D568" t="s">
        <v>927</v>
      </c>
      <c r="E568" t="s">
        <v>928</v>
      </c>
      <c r="F568" t="s">
        <v>513</v>
      </c>
      <c r="G568" t="s">
        <v>86</v>
      </c>
      <c r="H568" t="s">
        <v>22</v>
      </c>
      <c r="I568" t="s">
        <v>23</v>
      </c>
      <c r="J568" s="1">
        <v>17020</v>
      </c>
      <c r="K568" t="s">
        <v>23</v>
      </c>
      <c r="L568" t="s">
        <v>1961</v>
      </c>
      <c r="M568" t="s">
        <v>60</v>
      </c>
      <c r="N568">
        <v>22</v>
      </c>
      <c r="O568">
        <v>165771.5</v>
      </c>
    </row>
    <row r="569" spans="1:15" x14ac:dyDescent="0.35">
      <c r="A569" t="s">
        <v>15</v>
      </c>
      <c r="B569" t="s">
        <v>27</v>
      </c>
      <c r="C569" t="s">
        <v>61</v>
      </c>
      <c r="D569" t="s">
        <v>864</v>
      </c>
      <c r="E569" t="s">
        <v>688</v>
      </c>
      <c r="F569" t="s">
        <v>196</v>
      </c>
      <c r="G569" t="s">
        <v>866</v>
      </c>
      <c r="H569" t="s">
        <v>41</v>
      </c>
      <c r="I569" t="s">
        <v>58</v>
      </c>
      <c r="J569">
        <v>180</v>
      </c>
      <c r="K569" t="s">
        <v>58</v>
      </c>
      <c r="L569" t="s">
        <v>1962</v>
      </c>
      <c r="M569" t="s">
        <v>137</v>
      </c>
      <c r="N569">
        <v>7</v>
      </c>
      <c r="O569">
        <v>19780</v>
      </c>
    </row>
    <row r="570" spans="1:15" x14ac:dyDescent="0.35">
      <c r="A570" t="s">
        <v>75</v>
      </c>
      <c r="B570" t="s">
        <v>16</v>
      </c>
      <c r="C570" t="s">
        <v>61</v>
      </c>
      <c r="D570" t="s">
        <v>1802</v>
      </c>
      <c r="E570" t="s">
        <v>128</v>
      </c>
      <c r="F570" t="s">
        <v>125</v>
      </c>
      <c r="G570" t="s">
        <v>1803</v>
      </c>
      <c r="H570" t="s">
        <v>41</v>
      </c>
      <c r="I570" t="s">
        <v>23</v>
      </c>
      <c r="J570" s="1">
        <v>492235</v>
      </c>
      <c r="K570" t="s">
        <v>1963</v>
      </c>
      <c r="L570" t="s">
        <v>1964</v>
      </c>
      <c r="M570" t="s">
        <v>659</v>
      </c>
      <c r="N570">
        <v>14</v>
      </c>
      <c r="O570">
        <v>18354.5</v>
      </c>
    </row>
    <row r="571" spans="1:15" x14ac:dyDescent="0.35">
      <c r="A571" t="s">
        <v>15</v>
      </c>
      <c r="B571" t="s">
        <v>52</v>
      </c>
      <c r="C571" t="s">
        <v>17</v>
      </c>
      <c r="D571" t="s">
        <v>257</v>
      </c>
      <c r="E571" t="s">
        <v>1694</v>
      </c>
      <c r="F571" t="s">
        <v>196</v>
      </c>
      <c r="G571" t="s">
        <v>90</v>
      </c>
      <c r="H571" t="s">
        <v>41</v>
      </c>
      <c r="I571" t="s">
        <v>23</v>
      </c>
      <c r="J571" s="1">
        <v>5010</v>
      </c>
      <c r="K571" t="s">
        <v>259</v>
      </c>
      <c r="L571" t="s">
        <v>1965</v>
      </c>
      <c r="M571" t="s">
        <v>60</v>
      </c>
      <c r="N571">
        <v>7</v>
      </c>
      <c r="O571">
        <v>110970</v>
      </c>
    </row>
    <row r="572" spans="1:15" x14ac:dyDescent="0.35">
      <c r="A572" t="s">
        <v>15</v>
      </c>
      <c r="B572" t="s">
        <v>16</v>
      </c>
      <c r="C572" t="s">
        <v>61</v>
      </c>
      <c r="D572" t="s">
        <v>1531</v>
      </c>
      <c r="E572" t="s">
        <v>1966</v>
      </c>
      <c r="F572" t="s">
        <v>47</v>
      </c>
      <c r="G572" t="s">
        <v>412</v>
      </c>
      <c r="H572" t="s">
        <v>41</v>
      </c>
      <c r="I572" t="s">
        <v>23</v>
      </c>
      <c r="J572" s="1">
        <v>17020</v>
      </c>
      <c r="K572" t="s">
        <v>1967</v>
      </c>
      <c r="L572" t="s">
        <v>1968</v>
      </c>
      <c r="M572" t="s">
        <v>1969</v>
      </c>
      <c r="N572">
        <v>8</v>
      </c>
      <c r="O572">
        <v>168969</v>
      </c>
    </row>
    <row r="573" spans="1:15" x14ac:dyDescent="0.35">
      <c r="A573" t="s">
        <v>15</v>
      </c>
      <c r="B573" t="s">
        <v>16</v>
      </c>
      <c r="C573" t="s">
        <v>36</v>
      </c>
      <c r="D573" t="s">
        <v>1736</v>
      </c>
      <c r="E573" t="s">
        <v>743</v>
      </c>
      <c r="F573" t="s">
        <v>399</v>
      </c>
      <c r="G573" t="s">
        <v>412</v>
      </c>
      <c r="H573" t="s">
        <v>41</v>
      </c>
      <c r="I573" t="s">
        <v>23</v>
      </c>
      <c r="J573" s="1">
        <v>258800</v>
      </c>
      <c r="K573" t="s">
        <v>1970</v>
      </c>
      <c r="L573" t="s">
        <v>1971</v>
      </c>
      <c r="M573" t="s">
        <v>51</v>
      </c>
      <c r="N573">
        <v>5</v>
      </c>
      <c r="O573">
        <v>156636.5</v>
      </c>
    </row>
    <row r="574" spans="1:15" x14ac:dyDescent="0.35">
      <c r="A574" t="s">
        <v>15</v>
      </c>
      <c r="B574" t="s">
        <v>27</v>
      </c>
      <c r="C574" t="s">
        <v>17</v>
      </c>
      <c r="D574" t="s">
        <v>1597</v>
      </c>
      <c r="E574" t="s">
        <v>1598</v>
      </c>
      <c r="F574" t="s">
        <v>78</v>
      </c>
      <c r="G574" t="s">
        <v>412</v>
      </c>
      <c r="H574" t="s">
        <v>41</v>
      </c>
      <c r="I574" t="s">
        <v>58</v>
      </c>
      <c r="J574" s="1">
        <v>2760</v>
      </c>
      <c r="K574" t="s">
        <v>58</v>
      </c>
      <c r="L574" t="s">
        <v>1972</v>
      </c>
      <c r="M574" t="s">
        <v>60</v>
      </c>
      <c r="N574">
        <v>9</v>
      </c>
      <c r="O574">
        <v>251171</v>
      </c>
    </row>
    <row r="575" spans="1:15" x14ac:dyDescent="0.35">
      <c r="A575" t="s">
        <v>15</v>
      </c>
      <c r="B575" t="s">
        <v>16</v>
      </c>
      <c r="C575" t="s">
        <v>82</v>
      </c>
      <c r="D575" t="s">
        <v>962</v>
      </c>
      <c r="E575" t="s">
        <v>1973</v>
      </c>
      <c r="F575" t="s">
        <v>399</v>
      </c>
      <c r="G575" t="s">
        <v>964</v>
      </c>
      <c r="H575" t="s">
        <v>41</v>
      </c>
      <c r="I575" t="s">
        <v>61</v>
      </c>
      <c r="J575" t="s">
        <v>58</v>
      </c>
      <c r="K575" t="s">
        <v>965</v>
      </c>
      <c r="L575" t="s">
        <v>1974</v>
      </c>
      <c r="M575" t="s">
        <v>1975</v>
      </c>
      <c r="N575">
        <v>5</v>
      </c>
      <c r="O575">
        <v>7679</v>
      </c>
    </row>
    <row r="576" spans="1:15" x14ac:dyDescent="0.35">
      <c r="A576" t="s">
        <v>15</v>
      </c>
      <c r="B576" t="s">
        <v>16</v>
      </c>
      <c r="C576" t="s">
        <v>82</v>
      </c>
      <c r="D576" t="s">
        <v>1548</v>
      </c>
      <c r="E576" t="s">
        <v>1976</v>
      </c>
      <c r="F576" t="s">
        <v>125</v>
      </c>
      <c r="G576" t="s">
        <v>1550</v>
      </c>
      <c r="H576" t="s">
        <v>115</v>
      </c>
      <c r="I576" t="s">
        <v>23</v>
      </c>
      <c r="J576" s="1">
        <v>107690</v>
      </c>
      <c r="K576" t="s">
        <v>1977</v>
      </c>
      <c r="L576" t="s">
        <v>1978</v>
      </c>
      <c r="M576" t="s">
        <v>1979</v>
      </c>
      <c r="N576">
        <v>14</v>
      </c>
      <c r="O576">
        <v>148418.5</v>
      </c>
    </row>
    <row r="577" spans="1:15" x14ac:dyDescent="0.35">
      <c r="A577" t="s">
        <v>15</v>
      </c>
      <c r="B577" t="s">
        <v>16</v>
      </c>
      <c r="C577" t="s">
        <v>61</v>
      </c>
      <c r="D577" t="s">
        <v>1531</v>
      </c>
      <c r="E577" t="s">
        <v>743</v>
      </c>
      <c r="F577" t="s">
        <v>39</v>
      </c>
      <c r="G577" t="s">
        <v>412</v>
      </c>
      <c r="H577" t="s">
        <v>41</v>
      </c>
      <c r="I577" t="s">
        <v>23</v>
      </c>
      <c r="J577" s="1">
        <v>17020</v>
      </c>
      <c r="K577" t="s">
        <v>1980</v>
      </c>
      <c r="L577" t="s">
        <v>1981</v>
      </c>
      <c r="M577" t="s">
        <v>118</v>
      </c>
      <c r="O577">
        <v>173539</v>
      </c>
    </row>
    <row r="578" spans="1:15" x14ac:dyDescent="0.35">
      <c r="A578" t="s">
        <v>15</v>
      </c>
      <c r="B578" t="s">
        <v>27</v>
      </c>
      <c r="C578" t="s">
        <v>36</v>
      </c>
      <c r="D578" t="s">
        <v>582</v>
      </c>
      <c r="E578" t="s">
        <v>1269</v>
      </c>
      <c r="F578" t="s">
        <v>47</v>
      </c>
      <c r="G578" t="s">
        <v>584</v>
      </c>
      <c r="H578" t="s">
        <v>57</v>
      </c>
      <c r="I578" t="s">
        <v>58</v>
      </c>
      <c r="J578" s="1">
        <v>33020</v>
      </c>
      <c r="K578" t="s">
        <v>58</v>
      </c>
      <c r="L578" t="s">
        <v>1982</v>
      </c>
      <c r="M578" t="s">
        <v>1609</v>
      </c>
      <c r="N578">
        <v>8</v>
      </c>
      <c r="O578">
        <v>219084.5</v>
      </c>
    </row>
    <row r="579" spans="1:15" x14ac:dyDescent="0.35">
      <c r="A579" t="s">
        <v>15</v>
      </c>
      <c r="B579" t="s">
        <v>16</v>
      </c>
      <c r="C579" t="s">
        <v>61</v>
      </c>
      <c r="D579" t="s">
        <v>655</v>
      </c>
      <c r="E579" t="s">
        <v>1983</v>
      </c>
      <c r="F579" t="s">
        <v>244</v>
      </c>
      <c r="G579" t="s">
        <v>656</v>
      </c>
      <c r="H579" t="s">
        <v>115</v>
      </c>
      <c r="I579" t="s">
        <v>23</v>
      </c>
      <c r="J579" s="1">
        <v>300060</v>
      </c>
      <c r="K579" t="s">
        <v>1984</v>
      </c>
      <c r="L579" t="s">
        <v>1985</v>
      </c>
      <c r="M579" t="s">
        <v>1986</v>
      </c>
      <c r="N579">
        <v>2</v>
      </c>
      <c r="O579">
        <v>197560</v>
      </c>
    </row>
    <row r="580" spans="1:15" x14ac:dyDescent="0.35">
      <c r="A580" t="s">
        <v>15</v>
      </c>
      <c r="B580" t="s">
        <v>16</v>
      </c>
      <c r="C580" t="s">
        <v>61</v>
      </c>
      <c r="D580" t="s">
        <v>579</v>
      </c>
      <c r="E580" t="s">
        <v>860</v>
      </c>
      <c r="F580" t="s">
        <v>244</v>
      </c>
      <c r="G580" t="s">
        <v>580</v>
      </c>
      <c r="H580" t="s">
        <v>41</v>
      </c>
      <c r="I580" t="s">
        <v>23</v>
      </c>
      <c r="J580" s="1">
        <v>27450</v>
      </c>
      <c r="K580" t="s">
        <v>23</v>
      </c>
      <c r="L580" t="s">
        <v>1987</v>
      </c>
      <c r="M580" t="s">
        <v>1988</v>
      </c>
      <c r="N580">
        <v>2</v>
      </c>
      <c r="O580">
        <v>161688</v>
      </c>
    </row>
    <row r="581" spans="1:15" x14ac:dyDescent="0.35">
      <c r="A581" t="s">
        <v>15</v>
      </c>
      <c r="B581" t="s">
        <v>27</v>
      </c>
      <c r="C581" t="s">
        <v>61</v>
      </c>
      <c r="D581" t="s">
        <v>1989</v>
      </c>
      <c r="E581" t="s">
        <v>1990</v>
      </c>
      <c r="F581" t="s">
        <v>39</v>
      </c>
      <c r="G581" t="s">
        <v>238</v>
      </c>
      <c r="H581" t="s">
        <v>57</v>
      </c>
      <c r="I581" t="s">
        <v>23</v>
      </c>
      <c r="J581" s="1">
        <v>11060</v>
      </c>
      <c r="K581" t="s">
        <v>1991</v>
      </c>
      <c r="L581" t="s">
        <v>1992</v>
      </c>
      <c r="M581" t="s">
        <v>1993</v>
      </c>
      <c r="O581">
        <v>100474</v>
      </c>
    </row>
    <row r="582" spans="1:15" x14ac:dyDescent="0.35">
      <c r="A582" t="s">
        <v>15</v>
      </c>
      <c r="B582" t="s">
        <v>16</v>
      </c>
      <c r="C582" t="s">
        <v>17</v>
      </c>
      <c r="D582" t="s">
        <v>334</v>
      </c>
      <c r="E582" t="s">
        <v>335</v>
      </c>
      <c r="F582" t="s">
        <v>196</v>
      </c>
      <c r="G582" t="s">
        <v>336</v>
      </c>
      <c r="H582" t="s">
        <v>57</v>
      </c>
      <c r="I582" t="s">
        <v>23</v>
      </c>
      <c r="J582" s="1">
        <v>68420</v>
      </c>
      <c r="K582" t="s">
        <v>23</v>
      </c>
      <c r="L582" t="s">
        <v>1994</v>
      </c>
      <c r="M582" t="s">
        <v>338</v>
      </c>
      <c r="N582">
        <v>7</v>
      </c>
      <c r="O582">
        <v>24200</v>
      </c>
    </row>
    <row r="583" spans="1:15" x14ac:dyDescent="0.35">
      <c r="A583" t="s">
        <v>15</v>
      </c>
      <c r="B583" t="s">
        <v>16</v>
      </c>
      <c r="C583" t="s">
        <v>17</v>
      </c>
      <c r="D583" t="s">
        <v>762</v>
      </c>
      <c r="E583" t="s">
        <v>1995</v>
      </c>
      <c r="F583" t="s">
        <v>125</v>
      </c>
      <c r="G583" t="s">
        <v>764</v>
      </c>
      <c r="H583" t="s">
        <v>115</v>
      </c>
      <c r="I583" t="s">
        <v>23</v>
      </c>
      <c r="J583" s="1">
        <v>37950</v>
      </c>
      <c r="K583" t="s">
        <v>23</v>
      </c>
      <c r="L583" t="s">
        <v>1996</v>
      </c>
      <c r="M583" t="s">
        <v>1997</v>
      </c>
      <c r="N583">
        <v>14</v>
      </c>
      <c r="O583">
        <v>80785.5</v>
      </c>
    </row>
    <row r="584" spans="1:15" x14ac:dyDescent="0.35">
      <c r="A584" t="s">
        <v>15</v>
      </c>
      <c r="B584" t="s">
        <v>16</v>
      </c>
      <c r="C584" t="s">
        <v>36</v>
      </c>
      <c r="D584" t="s">
        <v>1736</v>
      </c>
      <c r="E584" t="s">
        <v>743</v>
      </c>
      <c r="F584" t="s">
        <v>39</v>
      </c>
      <c r="G584" t="s">
        <v>412</v>
      </c>
      <c r="H584" t="s">
        <v>41</v>
      </c>
      <c r="I584" t="s">
        <v>23</v>
      </c>
      <c r="J584" s="1">
        <v>258810</v>
      </c>
      <c r="K584" t="s">
        <v>1998</v>
      </c>
      <c r="L584" t="s">
        <v>1999</v>
      </c>
      <c r="M584" t="s">
        <v>51</v>
      </c>
      <c r="O584">
        <v>249802.5</v>
      </c>
    </row>
    <row r="585" spans="1:15" x14ac:dyDescent="0.35">
      <c r="A585" t="s">
        <v>15</v>
      </c>
      <c r="B585" t="s">
        <v>16</v>
      </c>
      <c r="C585" t="s">
        <v>82</v>
      </c>
      <c r="D585" t="s">
        <v>1871</v>
      </c>
      <c r="E585" t="s">
        <v>2000</v>
      </c>
      <c r="F585" t="s">
        <v>196</v>
      </c>
      <c r="G585" t="s">
        <v>249</v>
      </c>
      <c r="H585" t="s">
        <v>41</v>
      </c>
      <c r="I585" t="s">
        <v>58</v>
      </c>
      <c r="J585">
        <v>950</v>
      </c>
      <c r="K585" t="s">
        <v>58</v>
      </c>
      <c r="L585" t="s">
        <v>2001</v>
      </c>
      <c r="M585" t="s">
        <v>2002</v>
      </c>
      <c r="N585">
        <v>7</v>
      </c>
      <c r="O585">
        <v>24358</v>
      </c>
    </row>
    <row r="586" spans="1:15" x14ac:dyDescent="0.35">
      <c r="A586" t="s">
        <v>15</v>
      </c>
      <c r="B586" t="s">
        <v>16</v>
      </c>
      <c r="C586" t="s">
        <v>61</v>
      </c>
      <c r="D586" t="s">
        <v>1300</v>
      </c>
      <c r="E586" t="s">
        <v>2003</v>
      </c>
      <c r="F586" t="s">
        <v>47</v>
      </c>
      <c r="G586" t="s">
        <v>1291</v>
      </c>
      <c r="H586" t="s">
        <v>41</v>
      </c>
      <c r="I586" t="s">
        <v>58</v>
      </c>
      <c r="J586" s="1">
        <v>5010</v>
      </c>
      <c r="K586" t="s">
        <v>58</v>
      </c>
      <c r="L586" t="s">
        <v>2004</v>
      </c>
      <c r="M586" t="s">
        <v>1127</v>
      </c>
      <c r="N586">
        <v>8</v>
      </c>
      <c r="O586">
        <v>173533.5</v>
      </c>
    </row>
    <row r="587" spans="1:15" x14ac:dyDescent="0.35">
      <c r="A587" t="s">
        <v>15</v>
      </c>
      <c r="B587" t="s">
        <v>16</v>
      </c>
      <c r="C587" t="s">
        <v>61</v>
      </c>
      <c r="D587" t="s">
        <v>864</v>
      </c>
      <c r="E587" t="s">
        <v>688</v>
      </c>
      <c r="F587" t="s">
        <v>39</v>
      </c>
      <c r="G587" t="s">
        <v>866</v>
      </c>
      <c r="H587" t="s">
        <v>41</v>
      </c>
      <c r="I587" t="s">
        <v>58</v>
      </c>
      <c r="J587">
        <v>180</v>
      </c>
      <c r="K587" t="s">
        <v>58</v>
      </c>
      <c r="L587" t="s">
        <v>2005</v>
      </c>
      <c r="M587" t="s">
        <v>2006</v>
      </c>
      <c r="O587">
        <v>19777</v>
      </c>
    </row>
    <row r="588" spans="1:15" x14ac:dyDescent="0.35">
      <c r="A588" t="s">
        <v>75</v>
      </c>
      <c r="B588" t="s">
        <v>16</v>
      </c>
      <c r="C588" t="s">
        <v>36</v>
      </c>
      <c r="D588" t="s">
        <v>410</v>
      </c>
      <c r="E588" t="s">
        <v>411</v>
      </c>
      <c r="F588" t="s">
        <v>196</v>
      </c>
      <c r="G588" t="s">
        <v>412</v>
      </c>
      <c r="H588" t="s">
        <v>41</v>
      </c>
      <c r="I588" t="s">
        <v>58</v>
      </c>
      <c r="J588">
        <v>900</v>
      </c>
      <c r="K588" t="s">
        <v>2007</v>
      </c>
      <c r="L588" t="s">
        <v>2008</v>
      </c>
      <c r="M588" t="s">
        <v>60</v>
      </c>
      <c r="N588">
        <v>7</v>
      </c>
      <c r="O588">
        <v>254230</v>
      </c>
    </row>
    <row r="589" spans="1:15" x14ac:dyDescent="0.35">
      <c r="A589" t="s">
        <v>15</v>
      </c>
      <c r="B589" t="s">
        <v>16</v>
      </c>
      <c r="C589" t="s">
        <v>17</v>
      </c>
      <c r="D589" t="s">
        <v>742</v>
      </c>
      <c r="E589" t="s">
        <v>2009</v>
      </c>
      <c r="F589" t="s">
        <v>341</v>
      </c>
      <c r="G589" t="s">
        <v>744</v>
      </c>
      <c r="H589" t="s">
        <v>41</v>
      </c>
      <c r="I589" t="s">
        <v>23</v>
      </c>
      <c r="J589" s="1">
        <v>182328</v>
      </c>
      <c r="K589" t="s">
        <v>2010</v>
      </c>
      <c r="L589" t="s">
        <v>2011</v>
      </c>
      <c r="M589" t="s">
        <v>2012</v>
      </c>
      <c r="N589">
        <v>2</v>
      </c>
      <c r="O589">
        <v>136788</v>
      </c>
    </row>
    <row r="590" spans="1:15" x14ac:dyDescent="0.35">
      <c r="A590" t="s">
        <v>15</v>
      </c>
      <c r="B590" t="s">
        <v>16</v>
      </c>
      <c r="C590" t="s">
        <v>17</v>
      </c>
      <c r="D590" t="s">
        <v>1914</v>
      </c>
      <c r="E590" t="s">
        <v>2013</v>
      </c>
      <c r="F590" t="s">
        <v>196</v>
      </c>
      <c r="G590" t="s">
        <v>946</v>
      </c>
      <c r="H590" t="s">
        <v>22</v>
      </c>
      <c r="I590" t="s">
        <v>23</v>
      </c>
      <c r="J590" s="1">
        <v>409050</v>
      </c>
      <c r="K590" t="s">
        <v>2014</v>
      </c>
      <c r="L590" t="s">
        <v>2015</v>
      </c>
      <c r="M590" t="s">
        <v>1917</v>
      </c>
      <c r="N590">
        <v>7</v>
      </c>
      <c r="O590">
        <v>121476.5</v>
      </c>
    </row>
    <row r="591" spans="1:15" x14ac:dyDescent="0.35">
      <c r="A591" t="s">
        <v>15</v>
      </c>
      <c r="B591" t="s">
        <v>16</v>
      </c>
      <c r="C591" t="s">
        <v>17</v>
      </c>
      <c r="D591" t="s">
        <v>703</v>
      </c>
      <c r="E591" t="s">
        <v>2016</v>
      </c>
      <c r="F591" t="s">
        <v>196</v>
      </c>
      <c r="G591" t="s">
        <v>169</v>
      </c>
      <c r="H591" t="s">
        <v>41</v>
      </c>
      <c r="I591" t="s">
        <v>23</v>
      </c>
      <c r="J591" s="1">
        <v>261040</v>
      </c>
      <c r="K591" t="s">
        <v>2017</v>
      </c>
      <c r="L591" t="s">
        <v>2018</v>
      </c>
      <c r="M591" t="s">
        <v>2019</v>
      </c>
      <c r="N591">
        <v>7</v>
      </c>
      <c r="O591">
        <v>118049.5</v>
      </c>
    </row>
    <row r="592" spans="1:15" x14ac:dyDescent="0.35">
      <c r="A592" t="s">
        <v>15</v>
      </c>
      <c r="B592" t="s">
        <v>16</v>
      </c>
      <c r="C592" t="s">
        <v>61</v>
      </c>
      <c r="D592" t="s">
        <v>445</v>
      </c>
      <c r="E592" t="s">
        <v>128</v>
      </c>
      <c r="F592" t="s">
        <v>196</v>
      </c>
      <c r="G592" t="s">
        <v>446</v>
      </c>
      <c r="H592" t="s">
        <v>41</v>
      </c>
      <c r="I592" t="s">
        <v>23</v>
      </c>
      <c r="J592" s="1">
        <v>524568</v>
      </c>
      <c r="K592" t="s">
        <v>2020</v>
      </c>
      <c r="L592" t="s">
        <v>2021</v>
      </c>
      <c r="M592" t="s">
        <v>449</v>
      </c>
      <c r="N592">
        <v>7</v>
      </c>
      <c r="O592">
        <v>42868</v>
      </c>
    </row>
    <row r="593" spans="1:15" x14ac:dyDescent="0.35">
      <c r="A593" t="s">
        <v>75</v>
      </c>
      <c r="B593" t="s">
        <v>16</v>
      </c>
      <c r="C593" t="s">
        <v>61</v>
      </c>
      <c r="D593" t="s">
        <v>1300</v>
      </c>
      <c r="E593" t="s">
        <v>2022</v>
      </c>
      <c r="F593" t="s">
        <v>431</v>
      </c>
      <c r="G593" t="s">
        <v>1291</v>
      </c>
      <c r="H593" t="s">
        <v>41</v>
      </c>
      <c r="I593" t="s">
        <v>58</v>
      </c>
      <c r="J593" s="1">
        <v>5060</v>
      </c>
      <c r="K593" t="s">
        <v>58</v>
      </c>
      <c r="L593" t="s">
        <v>2023</v>
      </c>
      <c r="M593" t="s">
        <v>2024</v>
      </c>
      <c r="N593">
        <v>21</v>
      </c>
      <c r="O593">
        <v>94988</v>
      </c>
    </row>
    <row r="594" spans="1:15" x14ac:dyDescent="0.35">
      <c r="A594" t="s">
        <v>15</v>
      </c>
      <c r="B594" t="s">
        <v>16</v>
      </c>
      <c r="C594" t="s">
        <v>36</v>
      </c>
      <c r="D594" t="s">
        <v>920</v>
      </c>
      <c r="E594" t="s">
        <v>63</v>
      </c>
      <c r="F594" t="s">
        <v>1149</v>
      </c>
      <c r="G594" t="s">
        <v>921</v>
      </c>
      <c r="H594" t="s">
        <v>22</v>
      </c>
      <c r="I594" t="s">
        <v>23</v>
      </c>
      <c r="J594" s="1">
        <v>55100</v>
      </c>
      <c r="K594" t="s">
        <v>1724</v>
      </c>
      <c r="L594" t="s">
        <v>2025</v>
      </c>
      <c r="M594" t="s">
        <v>2026</v>
      </c>
      <c r="N594">
        <v>18</v>
      </c>
      <c r="O594">
        <v>169155.5</v>
      </c>
    </row>
    <row r="595" spans="1:15" x14ac:dyDescent="0.35">
      <c r="A595" t="s">
        <v>15</v>
      </c>
      <c r="B595" t="s">
        <v>16</v>
      </c>
      <c r="C595" t="s">
        <v>17</v>
      </c>
      <c r="D595" t="s">
        <v>1597</v>
      </c>
      <c r="E595" t="s">
        <v>2027</v>
      </c>
      <c r="F595" t="s">
        <v>78</v>
      </c>
      <c r="G595" t="s">
        <v>412</v>
      </c>
      <c r="H595" t="s">
        <v>41</v>
      </c>
      <c r="I595" t="s">
        <v>58</v>
      </c>
      <c r="J595" s="1">
        <v>2810</v>
      </c>
      <c r="K595" t="s">
        <v>58</v>
      </c>
      <c r="L595" t="s">
        <v>2028</v>
      </c>
      <c r="M595" t="s">
        <v>60</v>
      </c>
      <c r="N595">
        <v>9</v>
      </c>
      <c r="O595">
        <v>236556</v>
      </c>
    </row>
    <row r="596" spans="1:15" x14ac:dyDescent="0.35">
      <c r="A596" t="s">
        <v>15</v>
      </c>
      <c r="B596" t="s">
        <v>16</v>
      </c>
      <c r="C596" t="s">
        <v>61</v>
      </c>
      <c r="D596" t="s">
        <v>480</v>
      </c>
      <c r="E596" t="s">
        <v>2029</v>
      </c>
      <c r="F596" t="s">
        <v>196</v>
      </c>
      <c r="G596" t="s">
        <v>482</v>
      </c>
      <c r="H596" t="s">
        <v>41</v>
      </c>
      <c r="I596" t="s">
        <v>58</v>
      </c>
      <c r="J596" s="1">
        <v>3760</v>
      </c>
      <c r="K596" t="s">
        <v>58</v>
      </c>
      <c r="L596" t="s">
        <v>2030</v>
      </c>
      <c r="M596" t="s">
        <v>644</v>
      </c>
      <c r="N596">
        <v>7</v>
      </c>
      <c r="O596">
        <v>61775</v>
      </c>
    </row>
    <row r="597" spans="1:15" x14ac:dyDescent="0.35">
      <c r="A597" t="s">
        <v>15</v>
      </c>
      <c r="B597" t="s">
        <v>16</v>
      </c>
      <c r="C597" t="s">
        <v>61</v>
      </c>
      <c r="D597" t="s">
        <v>1914</v>
      </c>
      <c r="E597" t="s">
        <v>128</v>
      </c>
      <c r="F597" t="s">
        <v>39</v>
      </c>
      <c r="G597" t="s">
        <v>946</v>
      </c>
      <c r="H597" t="s">
        <v>22</v>
      </c>
      <c r="I597" t="s">
        <v>23</v>
      </c>
      <c r="J597" s="1">
        <v>409040</v>
      </c>
      <c r="K597" t="s">
        <v>2031</v>
      </c>
      <c r="L597" t="s">
        <v>2032</v>
      </c>
      <c r="M597" t="s">
        <v>2033</v>
      </c>
      <c r="O597">
        <v>45086.5</v>
      </c>
    </row>
    <row r="598" spans="1:15" x14ac:dyDescent="0.35">
      <c r="A598" t="s">
        <v>15</v>
      </c>
      <c r="B598" t="s">
        <v>16</v>
      </c>
      <c r="C598" t="s">
        <v>36</v>
      </c>
      <c r="D598" t="s">
        <v>694</v>
      </c>
      <c r="E598" t="s">
        <v>1022</v>
      </c>
      <c r="F598" t="s">
        <v>196</v>
      </c>
      <c r="G598" t="s">
        <v>580</v>
      </c>
      <c r="H598" t="s">
        <v>41</v>
      </c>
      <c r="I598" t="s">
        <v>23</v>
      </c>
      <c r="J598" s="1">
        <v>26010</v>
      </c>
      <c r="K598" t="s">
        <v>2034</v>
      </c>
      <c r="L598" t="s">
        <v>2035</v>
      </c>
      <c r="M598" t="s">
        <v>81</v>
      </c>
      <c r="N598">
        <v>7</v>
      </c>
      <c r="O598">
        <v>127870</v>
      </c>
    </row>
    <row r="599" spans="1:15" x14ac:dyDescent="0.35">
      <c r="A599" t="s">
        <v>15</v>
      </c>
      <c r="B599" t="s">
        <v>16</v>
      </c>
      <c r="C599" t="s">
        <v>17</v>
      </c>
      <c r="D599" t="s">
        <v>1918</v>
      </c>
      <c r="E599" t="s">
        <v>2036</v>
      </c>
      <c r="F599" t="s">
        <v>237</v>
      </c>
      <c r="G599" t="s">
        <v>921</v>
      </c>
      <c r="H599" t="s">
        <v>41</v>
      </c>
      <c r="I599" t="s">
        <v>23</v>
      </c>
      <c r="J599" s="1">
        <v>27010</v>
      </c>
      <c r="K599" t="s">
        <v>23</v>
      </c>
      <c r="L599" t="s">
        <v>2037</v>
      </c>
      <c r="M599" t="s">
        <v>402</v>
      </c>
      <c r="N599">
        <v>20</v>
      </c>
      <c r="O599">
        <v>147960.5</v>
      </c>
    </row>
    <row r="600" spans="1:15" x14ac:dyDescent="0.35">
      <c r="A600" t="s">
        <v>15</v>
      </c>
      <c r="B600" t="s">
        <v>16</v>
      </c>
      <c r="C600" t="s">
        <v>17</v>
      </c>
      <c r="D600" t="s">
        <v>223</v>
      </c>
      <c r="E600" t="s">
        <v>2038</v>
      </c>
      <c r="F600" t="s">
        <v>2039</v>
      </c>
      <c r="G600" t="s">
        <v>90</v>
      </c>
      <c r="H600" t="s">
        <v>41</v>
      </c>
      <c r="I600" t="s">
        <v>23</v>
      </c>
      <c r="J600" s="1">
        <v>5300</v>
      </c>
      <c r="K600" t="s">
        <v>2040</v>
      </c>
      <c r="L600" t="s">
        <v>360</v>
      </c>
      <c r="M600" t="s">
        <v>60</v>
      </c>
      <c r="N600">
        <v>19</v>
      </c>
      <c r="O600">
        <v>306623</v>
      </c>
    </row>
    <row r="601" spans="1:15" x14ac:dyDescent="0.35">
      <c r="A601" t="s">
        <v>15</v>
      </c>
      <c r="B601" t="s">
        <v>27</v>
      </c>
      <c r="C601" t="s">
        <v>36</v>
      </c>
      <c r="D601" t="s">
        <v>920</v>
      </c>
      <c r="E601" t="s">
        <v>63</v>
      </c>
      <c r="F601" t="s">
        <v>847</v>
      </c>
      <c r="G601" t="s">
        <v>921</v>
      </c>
      <c r="H601" t="s">
        <v>22</v>
      </c>
      <c r="I601" t="s">
        <v>23</v>
      </c>
      <c r="J601" s="1">
        <v>55110</v>
      </c>
      <c r="K601" t="s">
        <v>2041</v>
      </c>
      <c r="L601" t="s">
        <v>2042</v>
      </c>
      <c r="M601" t="s">
        <v>2043</v>
      </c>
      <c r="N601">
        <v>16</v>
      </c>
      <c r="O601">
        <v>281448</v>
      </c>
    </row>
    <row r="602" spans="1:15" x14ac:dyDescent="0.35">
      <c r="A602" t="s">
        <v>15</v>
      </c>
      <c r="B602" t="s">
        <v>16</v>
      </c>
      <c r="C602" t="s">
        <v>36</v>
      </c>
      <c r="D602" t="s">
        <v>920</v>
      </c>
      <c r="E602" t="s">
        <v>2044</v>
      </c>
      <c r="F602" t="s">
        <v>85</v>
      </c>
      <c r="G602" t="s">
        <v>921</v>
      </c>
      <c r="H602" t="s">
        <v>22</v>
      </c>
      <c r="I602" t="s">
        <v>23</v>
      </c>
      <c r="J602" s="1">
        <v>55130</v>
      </c>
      <c r="K602" t="s">
        <v>2041</v>
      </c>
      <c r="L602" t="s">
        <v>2045</v>
      </c>
      <c r="M602" t="s">
        <v>2046</v>
      </c>
      <c r="N602">
        <v>6</v>
      </c>
      <c r="O602">
        <v>141888</v>
      </c>
    </row>
    <row r="603" spans="1:15" x14ac:dyDescent="0.35">
      <c r="A603" t="s">
        <v>15</v>
      </c>
      <c r="B603" t="s">
        <v>16</v>
      </c>
      <c r="C603" t="s">
        <v>17</v>
      </c>
      <c r="D603" t="s">
        <v>703</v>
      </c>
      <c r="E603" t="s">
        <v>2016</v>
      </c>
      <c r="F603" t="s">
        <v>196</v>
      </c>
      <c r="G603" t="s">
        <v>169</v>
      </c>
      <c r="H603" t="s">
        <v>41</v>
      </c>
      <c r="I603" t="s">
        <v>23</v>
      </c>
      <c r="J603" s="1">
        <v>261010</v>
      </c>
      <c r="K603" t="s">
        <v>2047</v>
      </c>
      <c r="L603" t="s">
        <v>2048</v>
      </c>
      <c r="M603" t="s">
        <v>2019</v>
      </c>
      <c r="N603">
        <v>7</v>
      </c>
      <c r="O603">
        <v>118056.5</v>
      </c>
    </row>
    <row r="604" spans="1:15" x14ac:dyDescent="0.35">
      <c r="A604" t="s">
        <v>15</v>
      </c>
      <c r="B604" t="s">
        <v>16</v>
      </c>
      <c r="C604" t="s">
        <v>36</v>
      </c>
      <c r="D604" t="s">
        <v>18</v>
      </c>
      <c r="E604" t="s">
        <v>2049</v>
      </c>
      <c r="F604" t="s">
        <v>431</v>
      </c>
      <c r="G604" t="s">
        <v>21</v>
      </c>
      <c r="H604" t="s">
        <v>22</v>
      </c>
      <c r="I604" t="s">
        <v>23</v>
      </c>
      <c r="J604" t="s">
        <v>24</v>
      </c>
      <c r="K604" t="s">
        <v>23</v>
      </c>
      <c r="L604" t="s">
        <v>2050</v>
      </c>
      <c r="M604" t="s">
        <v>2051</v>
      </c>
      <c r="N604">
        <v>21</v>
      </c>
      <c r="O604">
        <v>160289.5</v>
      </c>
    </row>
    <row r="605" spans="1:15" x14ac:dyDescent="0.35">
      <c r="A605" t="s">
        <v>15</v>
      </c>
      <c r="B605" t="s">
        <v>16</v>
      </c>
      <c r="C605" t="s">
        <v>61</v>
      </c>
      <c r="D605" t="s">
        <v>703</v>
      </c>
      <c r="E605" t="s">
        <v>1663</v>
      </c>
      <c r="F605" t="s">
        <v>85</v>
      </c>
      <c r="G605" t="s">
        <v>169</v>
      </c>
      <c r="H605" t="s">
        <v>41</v>
      </c>
      <c r="I605" t="s">
        <v>23</v>
      </c>
      <c r="J605" s="1">
        <v>261040</v>
      </c>
      <c r="K605" t="s">
        <v>2052</v>
      </c>
      <c r="L605" t="s">
        <v>2053</v>
      </c>
      <c r="M605" t="s">
        <v>706</v>
      </c>
      <c r="N605">
        <v>6</v>
      </c>
      <c r="O605">
        <v>9582</v>
      </c>
    </row>
    <row r="606" spans="1:15" x14ac:dyDescent="0.35">
      <c r="A606" t="s">
        <v>15</v>
      </c>
      <c r="B606" t="s">
        <v>16</v>
      </c>
      <c r="C606" t="s">
        <v>17</v>
      </c>
      <c r="D606" t="s">
        <v>1749</v>
      </c>
      <c r="E606" t="s">
        <v>2054</v>
      </c>
      <c r="F606" t="s">
        <v>196</v>
      </c>
      <c r="G606" t="s">
        <v>1751</v>
      </c>
      <c r="H606" t="s">
        <v>57</v>
      </c>
      <c r="I606" t="s">
        <v>23</v>
      </c>
      <c r="J606" s="1">
        <v>18190</v>
      </c>
      <c r="K606" t="s">
        <v>2055</v>
      </c>
      <c r="L606" t="s">
        <v>2056</v>
      </c>
      <c r="M606" t="s">
        <v>81</v>
      </c>
      <c r="N606">
        <v>7</v>
      </c>
      <c r="O606">
        <v>125035</v>
      </c>
    </row>
    <row r="607" spans="1:15" x14ac:dyDescent="0.35">
      <c r="A607" t="s">
        <v>15</v>
      </c>
      <c r="B607" t="s">
        <v>52</v>
      </c>
      <c r="C607" t="s">
        <v>17</v>
      </c>
      <c r="D607" t="s">
        <v>257</v>
      </c>
      <c r="E607" t="s">
        <v>1694</v>
      </c>
      <c r="F607" t="s">
        <v>196</v>
      </c>
      <c r="G607" t="s">
        <v>90</v>
      </c>
      <c r="H607" t="s">
        <v>41</v>
      </c>
      <c r="I607" t="s">
        <v>23</v>
      </c>
      <c r="J607" s="1">
        <v>5040</v>
      </c>
      <c r="K607" t="s">
        <v>2057</v>
      </c>
      <c r="L607" t="s">
        <v>2058</v>
      </c>
      <c r="M607" t="s">
        <v>60</v>
      </c>
      <c r="N607">
        <v>7</v>
      </c>
      <c r="O607">
        <v>110978</v>
      </c>
    </row>
    <row r="608" spans="1:15" x14ac:dyDescent="0.35">
      <c r="A608" t="s">
        <v>15</v>
      </c>
      <c r="B608" t="s">
        <v>16</v>
      </c>
      <c r="C608" t="s">
        <v>36</v>
      </c>
      <c r="D608" t="s">
        <v>488</v>
      </c>
      <c r="E608" t="s">
        <v>1613</v>
      </c>
      <c r="F608" t="s">
        <v>125</v>
      </c>
      <c r="G608" t="s">
        <v>417</v>
      </c>
      <c r="H608" t="s">
        <v>41</v>
      </c>
      <c r="I608" t="s">
        <v>23</v>
      </c>
      <c r="J608" s="1">
        <v>97050</v>
      </c>
      <c r="K608" t="s">
        <v>490</v>
      </c>
      <c r="L608" t="s">
        <v>2059</v>
      </c>
      <c r="M608" t="s">
        <v>435</v>
      </c>
      <c r="N608">
        <v>14</v>
      </c>
      <c r="O608">
        <v>205047.5</v>
      </c>
    </row>
    <row r="609" spans="1:15" x14ac:dyDescent="0.35">
      <c r="A609" t="s">
        <v>15</v>
      </c>
      <c r="B609" t="s">
        <v>27</v>
      </c>
      <c r="C609" t="s">
        <v>36</v>
      </c>
      <c r="D609" t="s">
        <v>569</v>
      </c>
      <c r="E609" t="s">
        <v>2060</v>
      </c>
      <c r="F609" t="s">
        <v>39</v>
      </c>
      <c r="G609" t="s">
        <v>571</v>
      </c>
      <c r="H609" t="s">
        <v>115</v>
      </c>
      <c r="I609" t="s">
        <v>23</v>
      </c>
      <c r="J609" s="1">
        <v>49360</v>
      </c>
      <c r="K609" t="s">
        <v>2061</v>
      </c>
      <c r="L609" t="s">
        <v>2062</v>
      </c>
      <c r="M609" t="s">
        <v>60</v>
      </c>
      <c r="O609">
        <v>137007</v>
      </c>
    </row>
    <row r="610" spans="1:15" x14ac:dyDescent="0.35">
      <c r="A610" t="s">
        <v>15</v>
      </c>
      <c r="B610" t="s">
        <v>99</v>
      </c>
      <c r="C610" t="s">
        <v>82</v>
      </c>
      <c r="D610" t="s">
        <v>962</v>
      </c>
      <c r="E610" t="s">
        <v>2063</v>
      </c>
      <c r="F610" t="s">
        <v>125</v>
      </c>
      <c r="G610" t="s">
        <v>964</v>
      </c>
      <c r="H610" t="s">
        <v>41</v>
      </c>
      <c r="I610" t="s">
        <v>61</v>
      </c>
      <c r="J610" t="s">
        <v>58</v>
      </c>
      <c r="K610" t="s">
        <v>965</v>
      </c>
      <c r="L610" t="s">
        <v>1002</v>
      </c>
      <c r="M610" t="s">
        <v>110</v>
      </c>
      <c r="N610">
        <v>14</v>
      </c>
      <c r="O610">
        <v>25214</v>
      </c>
    </row>
    <row r="611" spans="1:15" x14ac:dyDescent="0.35">
      <c r="A611" t="s">
        <v>15</v>
      </c>
      <c r="B611" t="s">
        <v>16</v>
      </c>
      <c r="C611" t="s">
        <v>36</v>
      </c>
      <c r="D611" t="s">
        <v>1073</v>
      </c>
      <c r="E611" t="s">
        <v>2064</v>
      </c>
      <c r="F611" t="s">
        <v>64</v>
      </c>
      <c r="G611" t="s">
        <v>1075</v>
      </c>
      <c r="H611" t="s">
        <v>41</v>
      </c>
      <c r="I611" t="s">
        <v>23</v>
      </c>
      <c r="J611" s="1">
        <v>83560</v>
      </c>
      <c r="K611" t="s">
        <v>23</v>
      </c>
      <c r="L611" t="s">
        <v>2065</v>
      </c>
      <c r="M611" t="s">
        <v>2066</v>
      </c>
      <c r="N611">
        <v>3</v>
      </c>
      <c r="O611">
        <v>163125</v>
      </c>
    </row>
    <row r="612" spans="1:15" x14ac:dyDescent="0.35">
      <c r="A612" t="s">
        <v>15</v>
      </c>
      <c r="B612" t="s">
        <v>16</v>
      </c>
      <c r="C612" t="s">
        <v>61</v>
      </c>
      <c r="D612" t="s">
        <v>1531</v>
      </c>
      <c r="E612" t="s">
        <v>165</v>
      </c>
      <c r="F612" t="s">
        <v>431</v>
      </c>
      <c r="G612" t="s">
        <v>412</v>
      </c>
      <c r="H612" t="s">
        <v>41</v>
      </c>
      <c r="I612" t="s">
        <v>23</v>
      </c>
      <c r="J612" s="1">
        <v>17070</v>
      </c>
      <c r="K612" t="s">
        <v>2067</v>
      </c>
      <c r="L612" t="s">
        <v>2068</v>
      </c>
      <c r="M612" t="s">
        <v>206</v>
      </c>
      <c r="N612">
        <v>21</v>
      </c>
      <c r="O612">
        <v>168968</v>
      </c>
    </row>
    <row r="613" spans="1:15" x14ac:dyDescent="0.35">
      <c r="A613" t="s">
        <v>15</v>
      </c>
      <c r="B613" t="s">
        <v>16</v>
      </c>
      <c r="C613" t="s">
        <v>61</v>
      </c>
      <c r="D613" t="s">
        <v>445</v>
      </c>
      <c r="E613" t="s">
        <v>688</v>
      </c>
      <c r="F613" t="s">
        <v>125</v>
      </c>
      <c r="G613" t="s">
        <v>446</v>
      </c>
      <c r="H613" t="s">
        <v>41</v>
      </c>
      <c r="I613" t="s">
        <v>23</v>
      </c>
      <c r="J613" s="1">
        <v>524608</v>
      </c>
      <c r="K613" t="s">
        <v>2069</v>
      </c>
      <c r="L613" t="s">
        <v>2070</v>
      </c>
      <c r="M613" t="s">
        <v>1742</v>
      </c>
      <c r="N613">
        <v>14</v>
      </c>
      <c r="O613">
        <v>39989.5</v>
      </c>
    </row>
    <row r="614" spans="1:15" x14ac:dyDescent="0.35">
      <c r="A614" t="s">
        <v>15</v>
      </c>
      <c r="B614" t="s">
        <v>16</v>
      </c>
      <c r="C614" t="s">
        <v>17</v>
      </c>
      <c r="D614" t="s">
        <v>480</v>
      </c>
      <c r="E614" t="s">
        <v>481</v>
      </c>
      <c r="F614" t="s">
        <v>39</v>
      </c>
      <c r="G614" t="s">
        <v>482</v>
      </c>
      <c r="H614" t="s">
        <v>41</v>
      </c>
      <c r="I614" t="s">
        <v>58</v>
      </c>
      <c r="J614" s="1">
        <v>3760</v>
      </c>
      <c r="K614" t="s">
        <v>58</v>
      </c>
      <c r="L614" t="s">
        <v>2071</v>
      </c>
      <c r="M614" t="s">
        <v>2072</v>
      </c>
      <c r="O614">
        <v>61778</v>
      </c>
    </row>
    <row r="615" spans="1:15" x14ac:dyDescent="0.35">
      <c r="A615" t="s">
        <v>15</v>
      </c>
      <c r="B615" t="s">
        <v>16</v>
      </c>
      <c r="C615" t="s">
        <v>61</v>
      </c>
      <c r="D615" t="s">
        <v>1531</v>
      </c>
      <c r="E615" t="s">
        <v>743</v>
      </c>
      <c r="F615" t="s">
        <v>196</v>
      </c>
      <c r="G615" t="s">
        <v>412</v>
      </c>
      <c r="H615" t="s">
        <v>41</v>
      </c>
      <c r="I615" t="s">
        <v>23</v>
      </c>
      <c r="J615" s="1">
        <v>17050</v>
      </c>
      <c r="K615" t="s">
        <v>2073</v>
      </c>
      <c r="L615" t="s">
        <v>2074</v>
      </c>
      <c r="M615" t="s">
        <v>241</v>
      </c>
      <c r="N615">
        <v>7</v>
      </c>
      <c r="O615">
        <v>168967</v>
      </c>
    </row>
    <row r="616" spans="1:15" x14ac:dyDescent="0.35">
      <c r="A616" t="s">
        <v>75</v>
      </c>
      <c r="B616" t="s">
        <v>16</v>
      </c>
      <c r="C616" t="s">
        <v>36</v>
      </c>
      <c r="D616" t="s">
        <v>375</v>
      </c>
      <c r="E616" t="s">
        <v>376</v>
      </c>
      <c r="F616" t="s">
        <v>39</v>
      </c>
      <c r="G616" t="s">
        <v>377</v>
      </c>
      <c r="H616" t="s">
        <v>41</v>
      </c>
      <c r="I616" t="s">
        <v>58</v>
      </c>
      <c r="J616">
        <v>530</v>
      </c>
      <c r="K616" t="s">
        <v>58</v>
      </c>
      <c r="L616" t="s">
        <v>2075</v>
      </c>
      <c r="M616" t="s">
        <v>60</v>
      </c>
      <c r="O616">
        <v>36345</v>
      </c>
    </row>
    <row r="617" spans="1:15" x14ac:dyDescent="0.35">
      <c r="A617" t="s">
        <v>15</v>
      </c>
      <c r="B617" t="s">
        <v>16</v>
      </c>
      <c r="C617" t="s">
        <v>61</v>
      </c>
      <c r="D617" t="s">
        <v>1672</v>
      </c>
      <c r="E617" t="s">
        <v>1673</v>
      </c>
      <c r="F617" t="s">
        <v>125</v>
      </c>
      <c r="G617" t="s">
        <v>498</v>
      </c>
      <c r="H617" t="s">
        <v>156</v>
      </c>
      <c r="I617" t="s">
        <v>23</v>
      </c>
      <c r="J617" s="1">
        <v>6190</v>
      </c>
      <c r="K617" t="s">
        <v>23</v>
      </c>
      <c r="L617" t="s">
        <v>2076</v>
      </c>
      <c r="M617" t="s">
        <v>659</v>
      </c>
      <c r="N617">
        <v>14</v>
      </c>
      <c r="O617">
        <v>147050.5</v>
      </c>
    </row>
    <row r="618" spans="1:15" x14ac:dyDescent="0.35">
      <c r="A618" t="s">
        <v>15</v>
      </c>
      <c r="B618" t="s">
        <v>99</v>
      </c>
      <c r="C618" t="s">
        <v>61</v>
      </c>
      <c r="D618" t="s">
        <v>601</v>
      </c>
      <c r="E618" t="s">
        <v>2077</v>
      </c>
      <c r="F618" t="s">
        <v>196</v>
      </c>
      <c r="G618" t="s">
        <v>65</v>
      </c>
      <c r="H618" t="s">
        <v>57</v>
      </c>
      <c r="I618" t="s">
        <v>23</v>
      </c>
      <c r="J618" s="1">
        <v>290800</v>
      </c>
      <c r="K618" t="s">
        <v>2078</v>
      </c>
      <c r="L618" t="s">
        <v>2079</v>
      </c>
      <c r="M618" t="s">
        <v>2080</v>
      </c>
      <c r="N618">
        <v>7</v>
      </c>
      <c r="O618">
        <v>33751</v>
      </c>
    </row>
    <row r="619" spans="1:15" x14ac:dyDescent="0.35">
      <c r="A619" t="s">
        <v>15</v>
      </c>
      <c r="B619" t="s">
        <v>99</v>
      </c>
      <c r="C619" t="s">
        <v>61</v>
      </c>
      <c r="D619" t="s">
        <v>2081</v>
      </c>
      <c r="E619" t="s">
        <v>191</v>
      </c>
      <c r="F619" t="s">
        <v>39</v>
      </c>
      <c r="G619" t="s">
        <v>537</v>
      </c>
      <c r="H619" t="s">
        <v>41</v>
      </c>
      <c r="I619" t="s">
        <v>58</v>
      </c>
      <c r="J619">
        <v>900</v>
      </c>
      <c r="K619" t="s">
        <v>58</v>
      </c>
      <c r="L619" t="s">
        <v>2082</v>
      </c>
      <c r="M619" t="s">
        <v>200</v>
      </c>
      <c r="O619">
        <v>49109</v>
      </c>
    </row>
    <row r="620" spans="1:15" x14ac:dyDescent="0.35">
      <c r="A620" t="s">
        <v>15</v>
      </c>
      <c r="B620" t="s">
        <v>16</v>
      </c>
      <c r="C620" t="s">
        <v>82</v>
      </c>
      <c r="D620" t="s">
        <v>1600</v>
      </c>
      <c r="E620" t="s">
        <v>2083</v>
      </c>
      <c r="F620" t="s">
        <v>244</v>
      </c>
      <c r="G620" t="s">
        <v>1236</v>
      </c>
      <c r="H620" t="s">
        <v>41</v>
      </c>
      <c r="I620" t="s">
        <v>58</v>
      </c>
      <c r="J620" s="1">
        <v>263610</v>
      </c>
      <c r="K620" t="s">
        <v>2084</v>
      </c>
      <c r="L620" t="s">
        <v>2085</v>
      </c>
      <c r="M620" t="s">
        <v>2086</v>
      </c>
      <c r="N620">
        <v>2</v>
      </c>
      <c r="O620">
        <v>7055</v>
      </c>
    </row>
    <row r="621" spans="1:15" x14ac:dyDescent="0.35">
      <c r="A621" t="s">
        <v>15</v>
      </c>
      <c r="B621" t="s">
        <v>27</v>
      </c>
      <c r="C621" t="s">
        <v>36</v>
      </c>
      <c r="D621" t="s">
        <v>601</v>
      </c>
      <c r="E621" t="s">
        <v>602</v>
      </c>
      <c r="F621" t="s">
        <v>399</v>
      </c>
      <c r="G621" t="s">
        <v>65</v>
      </c>
      <c r="H621" t="s">
        <v>57</v>
      </c>
      <c r="I621" t="s">
        <v>23</v>
      </c>
      <c r="J621" s="1">
        <v>290750</v>
      </c>
      <c r="K621" t="s">
        <v>2078</v>
      </c>
      <c r="L621" t="s">
        <v>585</v>
      </c>
      <c r="M621" t="s">
        <v>2087</v>
      </c>
      <c r="N621">
        <v>5</v>
      </c>
      <c r="O621">
        <v>137008</v>
      </c>
    </row>
    <row r="622" spans="1:15" x14ac:dyDescent="0.35">
      <c r="A622" t="s">
        <v>15</v>
      </c>
      <c r="B622" t="s">
        <v>69</v>
      </c>
      <c r="C622" t="s">
        <v>36</v>
      </c>
      <c r="D622" t="s">
        <v>1951</v>
      </c>
      <c r="E622" t="s">
        <v>2088</v>
      </c>
      <c r="F622" t="s">
        <v>39</v>
      </c>
      <c r="G622" t="s">
        <v>1953</v>
      </c>
      <c r="H622" t="s">
        <v>57</v>
      </c>
      <c r="I622" t="s">
        <v>23</v>
      </c>
      <c r="J622" s="1">
        <v>29410</v>
      </c>
      <c r="K622" t="s">
        <v>23</v>
      </c>
      <c r="L622" t="s">
        <v>2089</v>
      </c>
      <c r="M622" t="s">
        <v>2090</v>
      </c>
      <c r="O622">
        <v>107319.5</v>
      </c>
    </row>
    <row r="623" spans="1:15" x14ac:dyDescent="0.35">
      <c r="A623" t="s">
        <v>15</v>
      </c>
      <c r="B623" t="s">
        <v>16</v>
      </c>
      <c r="C623" t="s">
        <v>36</v>
      </c>
      <c r="D623" t="s">
        <v>1531</v>
      </c>
      <c r="E623" t="s">
        <v>743</v>
      </c>
      <c r="F623" t="s">
        <v>312</v>
      </c>
      <c r="G623" t="s">
        <v>412</v>
      </c>
      <c r="H623" t="s">
        <v>41</v>
      </c>
      <c r="I623" t="s">
        <v>23</v>
      </c>
      <c r="J623" s="1">
        <v>17020</v>
      </c>
      <c r="K623" t="s">
        <v>1532</v>
      </c>
      <c r="L623" t="s">
        <v>2091</v>
      </c>
      <c r="M623" t="s">
        <v>118</v>
      </c>
      <c r="N623">
        <v>4</v>
      </c>
      <c r="O623">
        <v>166915</v>
      </c>
    </row>
    <row r="624" spans="1:15" x14ac:dyDescent="0.35">
      <c r="A624" t="s">
        <v>15</v>
      </c>
      <c r="B624" t="s">
        <v>27</v>
      </c>
      <c r="C624" t="s">
        <v>36</v>
      </c>
      <c r="D624" t="s">
        <v>664</v>
      </c>
      <c r="E624" t="s">
        <v>165</v>
      </c>
      <c r="F624" t="s">
        <v>125</v>
      </c>
      <c r="G624" t="s">
        <v>79</v>
      </c>
      <c r="H624" t="s">
        <v>41</v>
      </c>
      <c r="I624" t="s">
        <v>23</v>
      </c>
      <c r="J624" s="1">
        <v>94560</v>
      </c>
      <c r="K624" t="s">
        <v>2092</v>
      </c>
      <c r="L624" t="s">
        <v>2093</v>
      </c>
      <c r="M624" t="s">
        <v>81</v>
      </c>
      <c r="N624">
        <v>14</v>
      </c>
      <c r="O624">
        <v>258934.5</v>
      </c>
    </row>
    <row r="625" spans="1:15" x14ac:dyDescent="0.35">
      <c r="A625" t="s">
        <v>15</v>
      </c>
      <c r="B625" t="s">
        <v>16</v>
      </c>
      <c r="C625" t="s">
        <v>17</v>
      </c>
      <c r="D625" t="s">
        <v>392</v>
      </c>
      <c r="E625" t="s">
        <v>614</v>
      </c>
      <c r="F625" t="s">
        <v>277</v>
      </c>
      <c r="G625" t="s">
        <v>90</v>
      </c>
      <c r="H625" t="s">
        <v>57</v>
      </c>
      <c r="I625" t="s">
        <v>58</v>
      </c>
      <c r="J625">
        <v>780</v>
      </c>
      <c r="K625" t="s">
        <v>2094</v>
      </c>
      <c r="L625" t="s">
        <v>2095</v>
      </c>
      <c r="M625" t="s">
        <v>60</v>
      </c>
      <c r="N625">
        <v>12</v>
      </c>
      <c r="O625">
        <v>242952.5</v>
      </c>
    </row>
    <row r="626" spans="1:15" x14ac:dyDescent="0.35">
      <c r="A626" t="s">
        <v>15</v>
      </c>
      <c r="B626" t="s">
        <v>16</v>
      </c>
      <c r="C626" t="s">
        <v>61</v>
      </c>
      <c r="D626" t="s">
        <v>550</v>
      </c>
      <c r="E626" t="s">
        <v>1148</v>
      </c>
      <c r="F626" t="s">
        <v>85</v>
      </c>
      <c r="G626" t="s">
        <v>65</v>
      </c>
      <c r="H626" t="s">
        <v>41</v>
      </c>
      <c r="I626" t="s">
        <v>23</v>
      </c>
      <c r="J626" s="1">
        <v>10040</v>
      </c>
      <c r="K626" t="s">
        <v>23</v>
      </c>
      <c r="L626" t="s">
        <v>2096</v>
      </c>
      <c r="M626" t="s">
        <v>553</v>
      </c>
      <c r="N626">
        <v>6</v>
      </c>
      <c r="O626">
        <v>99557</v>
      </c>
    </row>
    <row r="627" spans="1:15" x14ac:dyDescent="0.35">
      <c r="A627" t="s">
        <v>15</v>
      </c>
      <c r="B627" t="s">
        <v>16</v>
      </c>
      <c r="C627" t="s">
        <v>61</v>
      </c>
      <c r="D627" t="s">
        <v>747</v>
      </c>
      <c r="E627" t="s">
        <v>128</v>
      </c>
      <c r="F627" t="s">
        <v>431</v>
      </c>
      <c r="G627" t="s">
        <v>65</v>
      </c>
      <c r="H627" t="s">
        <v>41</v>
      </c>
      <c r="I627" t="s">
        <v>58</v>
      </c>
      <c r="J627" s="1">
        <v>3550</v>
      </c>
      <c r="K627" t="s">
        <v>58</v>
      </c>
      <c r="L627" t="s">
        <v>748</v>
      </c>
      <c r="M627" t="s">
        <v>2097</v>
      </c>
      <c r="N627">
        <v>21</v>
      </c>
      <c r="O627">
        <v>19234</v>
      </c>
    </row>
    <row r="628" spans="1:15" x14ac:dyDescent="0.35">
      <c r="A628" t="s">
        <v>15</v>
      </c>
      <c r="B628" t="s">
        <v>27</v>
      </c>
      <c r="C628" t="s">
        <v>36</v>
      </c>
      <c r="D628" t="s">
        <v>920</v>
      </c>
      <c r="E628" t="s">
        <v>860</v>
      </c>
      <c r="F628" t="s">
        <v>1149</v>
      </c>
      <c r="G628" t="s">
        <v>921</v>
      </c>
      <c r="H628" t="s">
        <v>22</v>
      </c>
      <c r="I628" t="s">
        <v>23</v>
      </c>
      <c r="J628" s="1">
        <v>55100</v>
      </c>
      <c r="K628" t="s">
        <v>922</v>
      </c>
      <c r="L628" t="s">
        <v>2098</v>
      </c>
      <c r="M628" t="s">
        <v>2043</v>
      </c>
      <c r="N628">
        <v>18</v>
      </c>
      <c r="O628">
        <v>281450</v>
      </c>
    </row>
    <row r="629" spans="1:15" x14ac:dyDescent="0.35">
      <c r="A629" t="s">
        <v>15</v>
      </c>
      <c r="B629" t="s">
        <v>16</v>
      </c>
      <c r="C629" t="s">
        <v>36</v>
      </c>
      <c r="D629" t="s">
        <v>1632</v>
      </c>
      <c r="E629" t="s">
        <v>2099</v>
      </c>
      <c r="F629" t="s">
        <v>196</v>
      </c>
      <c r="G629" t="s">
        <v>48</v>
      </c>
      <c r="H629" t="s">
        <v>41</v>
      </c>
      <c r="I629" t="s">
        <v>23</v>
      </c>
      <c r="J629" s="1">
        <v>21260</v>
      </c>
      <c r="K629" t="s">
        <v>2100</v>
      </c>
      <c r="L629" t="s">
        <v>2101</v>
      </c>
      <c r="M629" t="s">
        <v>659</v>
      </c>
      <c r="N629">
        <v>7</v>
      </c>
      <c r="O629">
        <v>165680.5</v>
      </c>
    </row>
    <row r="630" spans="1:15" x14ac:dyDescent="0.35">
      <c r="A630" t="s">
        <v>15</v>
      </c>
      <c r="B630" t="s">
        <v>16</v>
      </c>
      <c r="C630" t="s">
        <v>17</v>
      </c>
      <c r="D630" t="s">
        <v>392</v>
      </c>
      <c r="E630" t="s">
        <v>614</v>
      </c>
      <c r="F630" t="s">
        <v>277</v>
      </c>
      <c r="G630" t="s">
        <v>90</v>
      </c>
      <c r="H630" t="s">
        <v>57</v>
      </c>
      <c r="I630" t="s">
        <v>58</v>
      </c>
      <c r="J630">
        <v>780</v>
      </c>
      <c r="K630" t="s">
        <v>2102</v>
      </c>
      <c r="L630" t="s">
        <v>2103</v>
      </c>
      <c r="M630" t="s">
        <v>60</v>
      </c>
      <c r="N630">
        <v>12</v>
      </c>
      <c r="O630">
        <v>242949.5</v>
      </c>
    </row>
    <row r="631" spans="1:15" x14ac:dyDescent="0.35">
      <c r="A631" t="s">
        <v>15</v>
      </c>
      <c r="B631" t="s">
        <v>27</v>
      </c>
      <c r="C631" t="s">
        <v>36</v>
      </c>
      <c r="D631" t="s">
        <v>920</v>
      </c>
      <c r="E631" t="s">
        <v>860</v>
      </c>
      <c r="F631" t="s">
        <v>431</v>
      </c>
      <c r="G631" t="s">
        <v>921</v>
      </c>
      <c r="H631" t="s">
        <v>22</v>
      </c>
      <c r="I631" t="s">
        <v>23</v>
      </c>
      <c r="J631" s="1">
        <v>55100</v>
      </c>
      <c r="K631" t="s">
        <v>2104</v>
      </c>
      <c r="L631" t="s">
        <v>2105</v>
      </c>
      <c r="M631" t="s">
        <v>2043</v>
      </c>
      <c r="N631">
        <v>21</v>
      </c>
      <c r="O631">
        <v>281447</v>
      </c>
    </row>
    <row r="632" spans="1:15" x14ac:dyDescent="0.35">
      <c r="A632" t="s">
        <v>75</v>
      </c>
      <c r="B632" t="s">
        <v>16</v>
      </c>
      <c r="C632" t="s">
        <v>36</v>
      </c>
      <c r="D632" t="s">
        <v>795</v>
      </c>
      <c r="E632" t="s">
        <v>2106</v>
      </c>
      <c r="F632" t="s">
        <v>312</v>
      </c>
      <c r="G632" t="s">
        <v>797</v>
      </c>
      <c r="H632" t="s">
        <v>41</v>
      </c>
      <c r="I632" t="s">
        <v>58</v>
      </c>
      <c r="J632" s="1">
        <v>14060</v>
      </c>
      <c r="K632" t="s">
        <v>58</v>
      </c>
      <c r="L632" t="s">
        <v>2107</v>
      </c>
      <c r="M632" t="s">
        <v>2108</v>
      </c>
      <c r="N632">
        <v>4</v>
      </c>
      <c r="O632">
        <v>177193</v>
      </c>
    </row>
    <row r="633" spans="1:15" x14ac:dyDescent="0.35">
      <c r="A633" t="s">
        <v>15</v>
      </c>
      <c r="B633" t="s">
        <v>16</v>
      </c>
      <c r="C633" t="s">
        <v>17</v>
      </c>
      <c r="D633" t="s">
        <v>257</v>
      </c>
      <c r="E633" t="s">
        <v>614</v>
      </c>
      <c r="F633" t="s">
        <v>196</v>
      </c>
      <c r="G633" t="s">
        <v>90</v>
      </c>
      <c r="H633" t="s">
        <v>41</v>
      </c>
      <c r="I633" t="s">
        <v>23</v>
      </c>
      <c r="J633" s="1">
        <v>5020</v>
      </c>
      <c r="K633" t="s">
        <v>2057</v>
      </c>
      <c r="L633" t="s">
        <v>2109</v>
      </c>
      <c r="M633" t="s">
        <v>60</v>
      </c>
      <c r="N633">
        <v>7</v>
      </c>
      <c r="O633">
        <v>152070.5</v>
      </c>
    </row>
    <row r="634" spans="1:15" x14ac:dyDescent="0.35">
      <c r="A634" t="s">
        <v>15</v>
      </c>
      <c r="B634" t="s">
        <v>16</v>
      </c>
      <c r="C634" t="s">
        <v>82</v>
      </c>
      <c r="D634" t="s">
        <v>962</v>
      </c>
      <c r="E634" t="s">
        <v>2110</v>
      </c>
      <c r="F634" t="s">
        <v>399</v>
      </c>
      <c r="G634" t="s">
        <v>964</v>
      </c>
      <c r="H634" t="s">
        <v>41</v>
      </c>
      <c r="I634" t="s">
        <v>61</v>
      </c>
      <c r="J634" t="s">
        <v>58</v>
      </c>
      <c r="K634" t="s">
        <v>965</v>
      </c>
      <c r="L634" t="s">
        <v>2111</v>
      </c>
      <c r="M634" t="s">
        <v>1975</v>
      </c>
      <c r="N634">
        <v>5</v>
      </c>
      <c r="O634">
        <v>7680</v>
      </c>
    </row>
    <row r="635" spans="1:15" x14ac:dyDescent="0.35">
      <c r="A635" t="s">
        <v>15</v>
      </c>
      <c r="B635" t="s">
        <v>99</v>
      </c>
      <c r="C635" t="s">
        <v>82</v>
      </c>
      <c r="D635" t="s">
        <v>772</v>
      </c>
      <c r="E635" t="s">
        <v>2112</v>
      </c>
      <c r="F635" t="s">
        <v>394</v>
      </c>
      <c r="G635" t="s">
        <v>773</v>
      </c>
      <c r="H635" t="s">
        <v>41</v>
      </c>
      <c r="I635" t="s">
        <v>23</v>
      </c>
      <c r="J635" s="1">
        <v>55040</v>
      </c>
      <c r="K635" t="s">
        <v>2113</v>
      </c>
      <c r="L635" t="s">
        <v>2114</v>
      </c>
      <c r="M635" t="s">
        <v>81</v>
      </c>
      <c r="N635">
        <v>11</v>
      </c>
      <c r="O635">
        <v>118739</v>
      </c>
    </row>
    <row r="636" spans="1:15" x14ac:dyDescent="0.35">
      <c r="A636" t="s">
        <v>15</v>
      </c>
      <c r="B636" t="s">
        <v>99</v>
      </c>
      <c r="C636" t="s">
        <v>36</v>
      </c>
      <c r="D636" t="s">
        <v>664</v>
      </c>
      <c r="E636" t="s">
        <v>165</v>
      </c>
      <c r="F636" t="s">
        <v>39</v>
      </c>
      <c r="G636" t="s">
        <v>79</v>
      </c>
      <c r="H636" t="s">
        <v>41</v>
      </c>
      <c r="I636" t="s">
        <v>23</v>
      </c>
      <c r="J636" s="1">
        <v>94540</v>
      </c>
      <c r="K636" t="s">
        <v>666</v>
      </c>
      <c r="L636" t="s">
        <v>2115</v>
      </c>
      <c r="M636" t="s">
        <v>118</v>
      </c>
      <c r="O636">
        <v>159382</v>
      </c>
    </row>
    <row r="637" spans="1:15" x14ac:dyDescent="0.35">
      <c r="A637" t="s">
        <v>15</v>
      </c>
      <c r="B637" t="s">
        <v>16</v>
      </c>
      <c r="C637" t="s">
        <v>36</v>
      </c>
      <c r="D637" t="s">
        <v>18</v>
      </c>
      <c r="E637" t="s">
        <v>2049</v>
      </c>
      <c r="F637" t="s">
        <v>277</v>
      </c>
      <c r="G637" t="s">
        <v>21</v>
      </c>
      <c r="H637" t="s">
        <v>22</v>
      </c>
      <c r="I637" t="s">
        <v>23</v>
      </c>
      <c r="J637" t="s">
        <v>24</v>
      </c>
      <c r="K637" t="s">
        <v>23</v>
      </c>
      <c r="L637" t="s">
        <v>2116</v>
      </c>
      <c r="M637" t="s">
        <v>2117</v>
      </c>
      <c r="N637">
        <v>12</v>
      </c>
      <c r="O637">
        <v>178102.5</v>
      </c>
    </row>
    <row r="638" spans="1:15" x14ac:dyDescent="0.35">
      <c r="A638" t="s">
        <v>15</v>
      </c>
      <c r="B638" t="s">
        <v>16</v>
      </c>
      <c r="C638" t="s">
        <v>17</v>
      </c>
      <c r="D638" t="s">
        <v>762</v>
      </c>
      <c r="E638" t="s">
        <v>1995</v>
      </c>
      <c r="F638" t="s">
        <v>55</v>
      </c>
      <c r="G638" t="s">
        <v>764</v>
      </c>
      <c r="H638" t="s">
        <v>115</v>
      </c>
      <c r="I638" t="s">
        <v>23</v>
      </c>
      <c r="J638" s="1">
        <v>37990</v>
      </c>
      <c r="K638" t="s">
        <v>23</v>
      </c>
      <c r="L638" t="s">
        <v>765</v>
      </c>
      <c r="M638" t="s">
        <v>2118</v>
      </c>
      <c r="N638">
        <v>3</v>
      </c>
      <c r="O638">
        <v>52987</v>
      </c>
    </row>
    <row r="639" spans="1:15" x14ac:dyDescent="0.35">
      <c r="A639" t="s">
        <v>15</v>
      </c>
      <c r="B639" t="s">
        <v>16</v>
      </c>
      <c r="C639" t="s">
        <v>82</v>
      </c>
      <c r="D639" t="s">
        <v>1157</v>
      </c>
      <c r="E639" t="s">
        <v>84</v>
      </c>
      <c r="F639" t="s">
        <v>85</v>
      </c>
      <c r="G639" t="s">
        <v>90</v>
      </c>
      <c r="H639" t="s">
        <v>41</v>
      </c>
      <c r="I639" t="s">
        <v>58</v>
      </c>
      <c r="J639">
        <v>45</v>
      </c>
      <c r="K639" t="s">
        <v>58</v>
      </c>
      <c r="L639" t="s">
        <v>2119</v>
      </c>
      <c r="M639" t="s">
        <v>60</v>
      </c>
      <c r="N639">
        <v>6</v>
      </c>
      <c r="O639">
        <v>152986</v>
      </c>
    </row>
    <row r="640" spans="1:15" x14ac:dyDescent="0.35">
      <c r="A640" t="s">
        <v>15</v>
      </c>
      <c r="B640" t="s">
        <v>16</v>
      </c>
      <c r="C640" t="s">
        <v>61</v>
      </c>
      <c r="D640" t="s">
        <v>875</v>
      </c>
      <c r="E640" t="s">
        <v>796</v>
      </c>
      <c r="F640" t="s">
        <v>39</v>
      </c>
      <c r="G640" t="s">
        <v>797</v>
      </c>
      <c r="H640" t="s">
        <v>115</v>
      </c>
      <c r="I640" t="s">
        <v>58</v>
      </c>
      <c r="J640">
        <v>250</v>
      </c>
      <c r="K640" t="s">
        <v>58</v>
      </c>
      <c r="L640" t="s">
        <v>2120</v>
      </c>
      <c r="M640" t="s">
        <v>2121</v>
      </c>
      <c r="O640">
        <v>139285</v>
      </c>
    </row>
    <row r="641" spans="1:15" x14ac:dyDescent="0.35">
      <c r="A641" t="s">
        <v>15</v>
      </c>
      <c r="B641" t="s">
        <v>16</v>
      </c>
      <c r="C641" t="s">
        <v>61</v>
      </c>
      <c r="D641" t="s">
        <v>525</v>
      </c>
      <c r="E641" t="s">
        <v>646</v>
      </c>
      <c r="F641" t="s">
        <v>55</v>
      </c>
      <c r="G641" t="s">
        <v>527</v>
      </c>
      <c r="H641" t="s">
        <v>41</v>
      </c>
      <c r="I641" t="s">
        <v>23</v>
      </c>
      <c r="J641" s="1">
        <v>40040</v>
      </c>
      <c r="K641" t="s">
        <v>2122</v>
      </c>
      <c r="L641" t="s">
        <v>2123</v>
      </c>
      <c r="M641" t="s">
        <v>2124</v>
      </c>
      <c r="N641">
        <v>3</v>
      </c>
      <c r="O641">
        <v>85616</v>
      </c>
    </row>
    <row r="642" spans="1:15" x14ac:dyDescent="0.35">
      <c r="A642" t="s">
        <v>15</v>
      </c>
      <c r="B642" t="s">
        <v>16</v>
      </c>
      <c r="C642" t="s">
        <v>36</v>
      </c>
      <c r="D642" t="s">
        <v>18</v>
      </c>
      <c r="E642" t="s">
        <v>2125</v>
      </c>
      <c r="F642" t="s">
        <v>125</v>
      </c>
      <c r="G642" t="s">
        <v>21</v>
      </c>
      <c r="H642" t="s">
        <v>22</v>
      </c>
      <c r="I642" t="s">
        <v>23</v>
      </c>
      <c r="J642" t="s">
        <v>24</v>
      </c>
      <c r="K642" t="s">
        <v>23</v>
      </c>
      <c r="L642" t="s">
        <v>2126</v>
      </c>
      <c r="M642" t="s">
        <v>2127</v>
      </c>
      <c r="N642">
        <v>14</v>
      </c>
      <c r="O642">
        <v>150701</v>
      </c>
    </row>
    <row r="643" spans="1:15" x14ac:dyDescent="0.35">
      <c r="A643" t="s">
        <v>15</v>
      </c>
      <c r="B643" t="s">
        <v>99</v>
      </c>
      <c r="C643" t="s">
        <v>17</v>
      </c>
      <c r="D643" t="s">
        <v>1918</v>
      </c>
      <c r="E643" t="s">
        <v>2128</v>
      </c>
      <c r="F643" t="s">
        <v>85</v>
      </c>
      <c r="G643" t="s">
        <v>921</v>
      </c>
      <c r="H643" t="s">
        <v>41</v>
      </c>
      <c r="I643" t="s">
        <v>23</v>
      </c>
      <c r="J643" s="1">
        <v>27030</v>
      </c>
      <c r="K643" t="s">
        <v>23</v>
      </c>
      <c r="L643" t="s">
        <v>2129</v>
      </c>
      <c r="M643" t="s">
        <v>402</v>
      </c>
      <c r="N643">
        <v>6</v>
      </c>
      <c r="O643">
        <v>115815.5</v>
      </c>
    </row>
    <row r="644" spans="1:15" x14ac:dyDescent="0.35">
      <c r="A644" t="s">
        <v>15</v>
      </c>
      <c r="B644" t="s">
        <v>99</v>
      </c>
      <c r="C644" t="s">
        <v>61</v>
      </c>
      <c r="D644" t="s">
        <v>1802</v>
      </c>
      <c r="E644" t="s">
        <v>2130</v>
      </c>
      <c r="F644" t="s">
        <v>125</v>
      </c>
      <c r="G644" t="s">
        <v>1803</v>
      </c>
      <c r="H644" t="s">
        <v>41</v>
      </c>
      <c r="I644" t="s">
        <v>23</v>
      </c>
      <c r="J644" s="1">
        <v>492195</v>
      </c>
      <c r="K644" t="s">
        <v>2131</v>
      </c>
      <c r="L644" t="s">
        <v>2132</v>
      </c>
      <c r="M644" t="s">
        <v>2133</v>
      </c>
      <c r="N644">
        <v>14</v>
      </c>
      <c r="O644">
        <v>19458</v>
      </c>
    </row>
    <row r="645" spans="1:15" x14ac:dyDescent="0.35">
      <c r="A645" t="s">
        <v>15</v>
      </c>
      <c r="B645" t="s">
        <v>16</v>
      </c>
      <c r="C645" t="s">
        <v>17</v>
      </c>
      <c r="D645" t="s">
        <v>655</v>
      </c>
      <c r="E645" t="s">
        <v>258</v>
      </c>
      <c r="F645" t="s">
        <v>244</v>
      </c>
      <c r="G645" t="s">
        <v>656</v>
      </c>
      <c r="H645" t="s">
        <v>115</v>
      </c>
      <c r="I645" t="s">
        <v>23</v>
      </c>
      <c r="J645" s="1">
        <v>300010</v>
      </c>
      <c r="K645" t="s">
        <v>2134</v>
      </c>
      <c r="L645" t="s">
        <v>2135</v>
      </c>
      <c r="M645" t="s">
        <v>2136</v>
      </c>
      <c r="N645">
        <v>2</v>
      </c>
      <c r="O645">
        <v>152404.5</v>
      </c>
    </row>
    <row r="646" spans="1:15" x14ac:dyDescent="0.35">
      <c r="A646" t="s">
        <v>15</v>
      </c>
      <c r="B646" t="s">
        <v>16</v>
      </c>
      <c r="C646" t="s">
        <v>61</v>
      </c>
      <c r="D646" t="s">
        <v>703</v>
      </c>
      <c r="E646" t="s">
        <v>1663</v>
      </c>
      <c r="F646" t="s">
        <v>399</v>
      </c>
      <c r="G646" t="s">
        <v>169</v>
      </c>
      <c r="H646" t="s">
        <v>41</v>
      </c>
      <c r="I646" t="s">
        <v>23</v>
      </c>
      <c r="J646" s="1">
        <v>261060</v>
      </c>
      <c r="K646" t="s">
        <v>2047</v>
      </c>
      <c r="L646" t="s">
        <v>2137</v>
      </c>
      <c r="M646" t="s">
        <v>81</v>
      </c>
      <c r="N646">
        <v>5</v>
      </c>
      <c r="O646">
        <v>9587</v>
      </c>
    </row>
    <row r="647" spans="1:15" x14ac:dyDescent="0.35">
      <c r="A647" t="s">
        <v>15</v>
      </c>
      <c r="B647" t="s">
        <v>99</v>
      </c>
      <c r="C647" t="s">
        <v>17</v>
      </c>
      <c r="D647" t="s">
        <v>1918</v>
      </c>
      <c r="E647" t="s">
        <v>1808</v>
      </c>
      <c r="F647" t="s">
        <v>125</v>
      </c>
      <c r="G647" t="s">
        <v>921</v>
      </c>
      <c r="H647" t="s">
        <v>41</v>
      </c>
      <c r="I647" t="s">
        <v>23</v>
      </c>
      <c r="J647" s="1">
        <v>27070</v>
      </c>
      <c r="K647" t="s">
        <v>23</v>
      </c>
      <c r="L647" t="s">
        <v>2138</v>
      </c>
      <c r="M647" t="s">
        <v>2139</v>
      </c>
      <c r="N647">
        <v>14</v>
      </c>
      <c r="O647">
        <v>115818.5</v>
      </c>
    </row>
    <row r="648" spans="1:15" x14ac:dyDescent="0.35">
      <c r="A648" t="s">
        <v>15</v>
      </c>
      <c r="B648" t="s">
        <v>16</v>
      </c>
      <c r="C648" t="s">
        <v>17</v>
      </c>
      <c r="D648" t="s">
        <v>1600</v>
      </c>
      <c r="E648" t="s">
        <v>2140</v>
      </c>
      <c r="F648" t="s">
        <v>125</v>
      </c>
      <c r="G648" t="s">
        <v>1236</v>
      </c>
      <c r="H648" t="s">
        <v>41</v>
      </c>
      <c r="I648" t="s">
        <v>58</v>
      </c>
      <c r="J648" s="1">
        <v>263590</v>
      </c>
      <c r="K648" t="s">
        <v>2141</v>
      </c>
      <c r="L648" t="s">
        <v>2142</v>
      </c>
      <c r="M648" t="s">
        <v>2143</v>
      </c>
      <c r="N648">
        <v>14</v>
      </c>
      <c r="O648">
        <v>32155</v>
      </c>
    </row>
    <row r="649" spans="1:15" x14ac:dyDescent="0.35">
      <c r="A649" t="s">
        <v>15</v>
      </c>
      <c r="B649" t="s">
        <v>16</v>
      </c>
      <c r="C649" t="s">
        <v>17</v>
      </c>
      <c r="D649" t="s">
        <v>1918</v>
      </c>
      <c r="E649" t="s">
        <v>2144</v>
      </c>
      <c r="F649" t="s">
        <v>196</v>
      </c>
      <c r="G649" t="s">
        <v>921</v>
      </c>
      <c r="H649" t="s">
        <v>41</v>
      </c>
      <c r="I649" t="s">
        <v>23</v>
      </c>
      <c r="J649" s="1">
        <v>27050</v>
      </c>
      <c r="K649" t="s">
        <v>23</v>
      </c>
      <c r="L649" t="s">
        <v>2145</v>
      </c>
      <c r="M649" t="s">
        <v>2146</v>
      </c>
      <c r="N649">
        <v>7</v>
      </c>
      <c r="O649">
        <v>147965.5</v>
      </c>
    </row>
    <row r="650" spans="1:15" x14ac:dyDescent="0.35">
      <c r="A650" t="s">
        <v>15</v>
      </c>
      <c r="B650" t="s">
        <v>99</v>
      </c>
      <c r="C650" t="s">
        <v>36</v>
      </c>
      <c r="D650" t="s">
        <v>750</v>
      </c>
      <c r="E650" t="s">
        <v>2147</v>
      </c>
      <c r="F650" t="s">
        <v>39</v>
      </c>
      <c r="G650" t="s">
        <v>752</v>
      </c>
      <c r="H650" t="s">
        <v>41</v>
      </c>
      <c r="I650" t="s">
        <v>23</v>
      </c>
      <c r="J650" s="1">
        <v>20010</v>
      </c>
      <c r="K650" t="s">
        <v>23</v>
      </c>
      <c r="L650" t="s">
        <v>2148</v>
      </c>
      <c r="M650" t="s">
        <v>2149</v>
      </c>
      <c r="O650">
        <v>82476</v>
      </c>
    </row>
    <row r="651" spans="1:15" x14ac:dyDescent="0.35">
      <c r="A651" t="s">
        <v>15</v>
      </c>
      <c r="B651" t="s">
        <v>27</v>
      </c>
      <c r="C651" t="s">
        <v>36</v>
      </c>
      <c r="D651" t="s">
        <v>582</v>
      </c>
      <c r="E651" t="s">
        <v>1269</v>
      </c>
      <c r="F651" t="s">
        <v>125</v>
      </c>
      <c r="G651" t="s">
        <v>584</v>
      </c>
      <c r="H651" t="s">
        <v>57</v>
      </c>
      <c r="I651" t="s">
        <v>58</v>
      </c>
      <c r="J651" s="1">
        <v>33010</v>
      </c>
      <c r="K651" t="s">
        <v>58</v>
      </c>
      <c r="L651" t="s">
        <v>2150</v>
      </c>
      <c r="M651" t="s">
        <v>586</v>
      </c>
      <c r="N651">
        <v>14</v>
      </c>
      <c r="O651">
        <v>137005</v>
      </c>
    </row>
    <row r="652" spans="1:15" x14ac:dyDescent="0.35">
      <c r="A652" t="s">
        <v>15</v>
      </c>
      <c r="B652" t="s">
        <v>99</v>
      </c>
      <c r="C652" t="s">
        <v>36</v>
      </c>
      <c r="D652" t="s">
        <v>664</v>
      </c>
      <c r="E652" t="s">
        <v>1415</v>
      </c>
      <c r="F652" t="s">
        <v>1149</v>
      </c>
      <c r="G652" t="s">
        <v>79</v>
      </c>
      <c r="H652" t="s">
        <v>41</v>
      </c>
      <c r="I652" t="s">
        <v>23</v>
      </c>
      <c r="J652" s="1">
        <v>94590</v>
      </c>
      <c r="K652" t="s">
        <v>2151</v>
      </c>
      <c r="L652" t="s">
        <v>2152</v>
      </c>
      <c r="M652" t="s">
        <v>118</v>
      </c>
      <c r="N652">
        <v>18</v>
      </c>
      <c r="O652">
        <v>189524</v>
      </c>
    </row>
    <row r="653" spans="1:15" x14ac:dyDescent="0.35">
      <c r="A653" t="s">
        <v>15</v>
      </c>
      <c r="B653" t="s">
        <v>16</v>
      </c>
      <c r="C653" t="s">
        <v>61</v>
      </c>
      <c r="D653" t="s">
        <v>1300</v>
      </c>
      <c r="E653" t="s">
        <v>2003</v>
      </c>
      <c r="F653" t="s">
        <v>196</v>
      </c>
      <c r="G653" t="s">
        <v>1291</v>
      </c>
      <c r="H653" t="s">
        <v>41</v>
      </c>
      <c r="I653" t="s">
        <v>58</v>
      </c>
      <c r="J653" s="1">
        <v>5060</v>
      </c>
      <c r="K653" t="s">
        <v>58</v>
      </c>
      <c r="L653" t="s">
        <v>2153</v>
      </c>
      <c r="M653" t="s">
        <v>1127</v>
      </c>
      <c r="N653">
        <v>7</v>
      </c>
      <c r="O653">
        <v>132889.5</v>
      </c>
    </row>
    <row r="654" spans="1:15" x14ac:dyDescent="0.35">
      <c r="A654" t="s">
        <v>15</v>
      </c>
      <c r="B654" t="s">
        <v>16</v>
      </c>
      <c r="C654" t="s">
        <v>36</v>
      </c>
      <c r="D654" t="s">
        <v>1914</v>
      </c>
      <c r="E654" t="s">
        <v>128</v>
      </c>
      <c r="F654" t="s">
        <v>244</v>
      </c>
      <c r="G654" t="s">
        <v>946</v>
      </c>
      <c r="H654" t="s">
        <v>22</v>
      </c>
      <c r="I654" t="s">
        <v>23</v>
      </c>
      <c r="J654" s="1">
        <v>409050</v>
      </c>
      <c r="K654" t="s">
        <v>2014</v>
      </c>
      <c r="L654" t="s">
        <v>2154</v>
      </c>
      <c r="M654" t="s">
        <v>2155</v>
      </c>
      <c r="N654">
        <v>2</v>
      </c>
      <c r="O654">
        <v>44703.5</v>
      </c>
    </row>
    <row r="655" spans="1:15" x14ac:dyDescent="0.35">
      <c r="A655" t="s">
        <v>15</v>
      </c>
      <c r="B655" t="s">
        <v>27</v>
      </c>
      <c r="C655" t="s">
        <v>36</v>
      </c>
      <c r="D655" t="s">
        <v>762</v>
      </c>
      <c r="E655" t="s">
        <v>2077</v>
      </c>
      <c r="F655" t="s">
        <v>125</v>
      </c>
      <c r="G655" t="s">
        <v>764</v>
      </c>
      <c r="H655" t="s">
        <v>115</v>
      </c>
      <c r="I655" t="s">
        <v>23</v>
      </c>
      <c r="J655" s="1">
        <v>37950</v>
      </c>
      <c r="K655" t="s">
        <v>23</v>
      </c>
      <c r="L655" t="s">
        <v>2156</v>
      </c>
      <c r="M655" t="s">
        <v>2157</v>
      </c>
      <c r="N655">
        <v>14</v>
      </c>
      <c r="O655">
        <v>31351</v>
      </c>
    </row>
    <row r="656" spans="1:15" x14ac:dyDescent="0.35">
      <c r="A656" t="s">
        <v>15</v>
      </c>
      <c r="B656" t="s">
        <v>99</v>
      </c>
      <c r="C656" t="s">
        <v>36</v>
      </c>
      <c r="D656" t="s">
        <v>664</v>
      </c>
      <c r="E656" t="s">
        <v>2049</v>
      </c>
      <c r="F656" t="s">
        <v>39</v>
      </c>
      <c r="G656" t="s">
        <v>79</v>
      </c>
      <c r="H656" t="s">
        <v>41</v>
      </c>
      <c r="I656" t="s">
        <v>23</v>
      </c>
      <c r="J656" s="1">
        <v>94590</v>
      </c>
      <c r="K656" t="s">
        <v>2092</v>
      </c>
      <c r="L656" t="s">
        <v>2158</v>
      </c>
      <c r="M656" t="s">
        <v>118</v>
      </c>
      <c r="O656">
        <v>159376</v>
      </c>
    </row>
    <row r="657" spans="1:15" x14ac:dyDescent="0.35">
      <c r="A657" t="s">
        <v>15</v>
      </c>
      <c r="B657" t="s">
        <v>16</v>
      </c>
      <c r="C657" t="s">
        <v>61</v>
      </c>
      <c r="D657" t="s">
        <v>1531</v>
      </c>
      <c r="E657" t="s">
        <v>165</v>
      </c>
      <c r="F657" t="s">
        <v>203</v>
      </c>
      <c r="G657" t="s">
        <v>412</v>
      </c>
      <c r="H657" t="s">
        <v>41</v>
      </c>
      <c r="I657" t="s">
        <v>23</v>
      </c>
      <c r="J657" s="1">
        <v>17020</v>
      </c>
      <c r="K657" t="s">
        <v>1967</v>
      </c>
      <c r="L657" t="s">
        <v>607</v>
      </c>
      <c r="M657" t="s">
        <v>118</v>
      </c>
      <c r="N657">
        <v>25</v>
      </c>
      <c r="O657">
        <v>173540</v>
      </c>
    </row>
    <row r="658" spans="1:15" x14ac:dyDescent="0.35">
      <c r="A658" t="s">
        <v>15</v>
      </c>
      <c r="B658" t="s">
        <v>27</v>
      </c>
      <c r="C658" t="s">
        <v>36</v>
      </c>
      <c r="D658" t="s">
        <v>18</v>
      </c>
      <c r="E658" t="s">
        <v>2049</v>
      </c>
      <c r="F658" t="s">
        <v>125</v>
      </c>
      <c r="G658" t="s">
        <v>21</v>
      </c>
      <c r="H658" t="s">
        <v>22</v>
      </c>
      <c r="I658" t="s">
        <v>23</v>
      </c>
      <c r="J658" t="s">
        <v>24</v>
      </c>
      <c r="K658" t="s">
        <v>23</v>
      </c>
      <c r="L658" t="s">
        <v>2159</v>
      </c>
      <c r="M658" t="s">
        <v>26</v>
      </c>
      <c r="N658">
        <v>14</v>
      </c>
      <c r="O658">
        <v>182672</v>
      </c>
    </row>
    <row r="659" spans="1:15" x14ac:dyDescent="0.35">
      <c r="A659" t="s">
        <v>75</v>
      </c>
      <c r="B659" t="s">
        <v>16</v>
      </c>
      <c r="C659" t="s">
        <v>17</v>
      </c>
      <c r="D659" t="s">
        <v>757</v>
      </c>
      <c r="E659" t="s">
        <v>2160</v>
      </c>
      <c r="F659" t="s">
        <v>39</v>
      </c>
      <c r="G659" t="s">
        <v>758</v>
      </c>
      <c r="H659" t="s">
        <v>41</v>
      </c>
      <c r="I659" t="s">
        <v>23</v>
      </c>
      <c r="J659" s="1">
        <v>212630</v>
      </c>
      <c r="K659" t="s">
        <v>2161</v>
      </c>
      <c r="L659" t="s">
        <v>2162</v>
      </c>
      <c r="M659" t="s">
        <v>2163</v>
      </c>
      <c r="O659">
        <v>41974</v>
      </c>
    </row>
    <row r="660" spans="1:15" x14ac:dyDescent="0.35">
      <c r="A660" t="s">
        <v>15</v>
      </c>
      <c r="B660" t="s">
        <v>16</v>
      </c>
      <c r="C660" t="s">
        <v>36</v>
      </c>
      <c r="D660" t="s">
        <v>831</v>
      </c>
      <c r="E660" t="s">
        <v>2164</v>
      </c>
      <c r="F660" t="s">
        <v>399</v>
      </c>
      <c r="G660" t="s">
        <v>90</v>
      </c>
      <c r="H660" t="s">
        <v>41</v>
      </c>
      <c r="I660" t="s">
        <v>23</v>
      </c>
      <c r="J660" s="1">
        <v>65820</v>
      </c>
      <c r="K660" t="s">
        <v>832</v>
      </c>
      <c r="L660" t="s">
        <v>2165</v>
      </c>
      <c r="M660" t="s">
        <v>2166</v>
      </c>
      <c r="N660">
        <v>5</v>
      </c>
      <c r="O660">
        <v>217791.5</v>
      </c>
    </row>
    <row r="661" spans="1:15" x14ac:dyDescent="0.35">
      <c r="A661" t="s">
        <v>15</v>
      </c>
      <c r="B661" t="s">
        <v>16</v>
      </c>
      <c r="C661" t="s">
        <v>17</v>
      </c>
      <c r="D661" t="s">
        <v>45</v>
      </c>
      <c r="E661" t="s">
        <v>335</v>
      </c>
      <c r="F661" t="s">
        <v>125</v>
      </c>
      <c r="G661" t="s">
        <v>48</v>
      </c>
      <c r="H661" t="s">
        <v>41</v>
      </c>
      <c r="I661" t="s">
        <v>23</v>
      </c>
      <c r="J661" s="1">
        <v>34660</v>
      </c>
      <c r="K661" t="s">
        <v>2167</v>
      </c>
      <c r="L661" t="s">
        <v>2168</v>
      </c>
      <c r="M661" t="s">
        <v>110</v>
      </c>
      <c r="N661">
        <v>14</v>
      </c>
      <c r="O661">
        <v>40080</v>
      </c>
    </row>
    <row r="662" spans="1:15" x14ac:dyDescent="0.35">
      <c r="A662" t="s">
        <v>15</v>
      </c>
      <c r="B662" t="s">
        <v>52</v>
      </c>
      <c r="C662" t="s">
        <v>36</v>
      </c>
      <c r="D662" t="s">
        <v>1458</v>
      </c>
      <c r="E662" t="s">
        <v>54</v>
      </c>
      <c r="F662" t="s">
        <v>125</v>
      </c>
      <c r="G662" t="s">
        <v>1459</v>
      </c>
      <c r="H662" t="s">
        <v>41</v>
      </c>
      <c r="I662" t="s">
        <v>23</v>
      </c>
      <c r="J662" s="1">
        <v>2270</v>
      </c>
      <c r="K662" t="s">
        <v>23</v>
      </c>
      <c r="L662" t="s">
        <v>2169</v>
      </c>
      <c r="M662" t="s">
        <v>60</v>
      </c>
      <c r="N662">
        <v>14</v>
      </c>
      <c r="O662">
        <v>181469.5</v>
      </c>
    </row>
    <row r="663" spans="1:15" x14ac:dyDescent="0.35">
      <c r="A663" t="s">
        <v>15</v>
      </c>
      <c r="B663" t="s">
        <v>16</v>
      </c>
      <c r="C663" t="s">
        <v>61</v>
      </c>
      <c r="D663" t="s">
        <v>2170</v>
      </c>
      <c r="E663" t="s">
        <v>1814</v>
      </c>
      <c r="F663" t="s">
        <v>125</v>
      </c>
      <c r="G663" t="s">
        <v>204</v>
      </c>
      <c r="H663" t="s">
        <v>41</v>
      </c>
      <c r="I663" t="s">
        <v>23</v>
      </c>
      <c r="J663" s="1">
        <v>26090</v>
      </c>
      <c r="K663" t="s">
        <v>23</v>
      </c>
      <c r="L663" t="s">
        <v>2171</v>
      </c>
      <c r="M663" t="s">
        <v>2172</v>
      </c>
      <c r="N663">
        <v>14</v>
      </c>
      <c r="O663">
        <v>78110</v>
      </c>
    </row>
    <row r="664" spans="1:15" x14ac:dyDescent="0.35">
      <c r="A664" t="s">
        <v>15</v>
      </c>
      <c r="B664" t="s">
        <v>16</v>
      </c>
      <c r="C664" t="s">
        <v>36</v>
      </c>
      <c r="D664" t="s">
        <v>694</v>
      </c>
      <c r="E664" t="s">
        <v>695</v>
      </c>
      <c r="F664" t="s">
        <v>47</v>
      </c>
      <c r="G664" t="s">
        <v>580</v>
      </c>
      <c r="H664" t="s">
        <v>41</v>
      </c>
      <c r="I664" t="s">
        <v>23</v>
      </c>
      <c r="J664" s="1">
        <v>26020</v>
      </c>
      <c r="K664" t="s">
        <v>2034</v>
      </c>
      <c r="L664" t="s">
        <v>2173</v>
      </c>
      <c r="M664" t="s">
        <v>2174</v>
      </c>
      <c r="N664">
        <v>8</v>
      </c>
      <c r="O664">
        <v>114169</v>
      </c>
    </row>
    <row r="665" spans="1:15" x14ac:dyDescent="0.35">
      <c r="A665" t="s">
        <v>15</v>
      </c>
      <c r="B665" t="s">
        <v>99</v>
      </c>
      <c r="C665" t="s">
        <v>17</v>
      </c>
      <c r="D665" t="s">
        <v>629</v>
      </c>
      <c r="E665" t="s">
        <v>1808</v>
      </c>
      <c r="F665" t="s">
        <v>125</v>
      </c>
      <c r="G665" t="s">
        <v>221</v>
      </c>
      <c r="H665" t="s">
        <v>57</v>
      </c>
      <c r="I665" t="s">
        <v>23</v>
      </c>
      <c r="J665" s="1">
        <v>21030</v>
      </c>
      <c r="K665" t="s">
        <v>630</v>
      </c>
      <c r="L665" t="s">
        <v>2175</v>
      </c>
      <c r="M665" t="s">
        <v>2176</v>
      </c>
      <c r="N665">
        <v>14</v>
      </c>
      <c r="O665">
        <v>135636.5</v>
      </c>
    </row>
    <row r="666" spans="1:15" x14ac:dyDescent="0.35">
      <c r="A666" t="s">
        <v>15</v>
      </c>
      <c r="B666" t="s">
        <v>16</v>
      </c>
      <c r="C666" t="s">
        <v>36</v>
      </c>
      <c r="D666" t="s">
        <v>371</v>
      </c>
      <c r="E666" t="s">
        <v>855</v>
      </c>
      <c r="F666" t="s">
        <v>85</v>
      </c>
      <c r="G666" t="s">
        <v>204</v>
      </c>
      <c r="H666" t="s">
        <v>22</v>
      </c>
      <c r="I666" t="s">
        <v>23</v>
      </c>
      <c r="J666" s="1">
        <v>865416</v>
      </c>
      <c r="K666" t="s">
        <v>2177</v>
      </c>
      <c r="L666" t="s">
        <v>2178</v>
      </c>
      <c r="M666" t="s">
        <v>1373</v>
      </c>
      <c r="N666">
        <v>6</v>
      </c>
      <c r="O666">
        <v>168517.5</v>
      </c>
    </row>
    <row r="667" spans="1:15" x14ac:dyDescent="0.35">
      <c r="A667" t="s">
        <v>15</v>
      </c>
      <c r="B667" t="s">
        <v>16</v>
      </c>
      <c r="C667" t="s">
        <v>61</v>
      </c>
      <c r="D667" t="s">
        <v>2179</v>
      </c>
      <c r="E667" t="s">
        <v>2180</v>
      </c>
      <c r="F667" t="s">
        <v>85</v>
      </c>
      <c r="G667" t="s">
        <v>65</v>
      </c>
      <c r="H667" t="s">
        <v>41</v>
      </c>
      <c r="I667" t="s">
        <v>23</v>
      </c>
      <c r="J667" s="1">
        <v>5010</v>
      </c>
      <c r="K667" t="s">
        <v>23</v>
      </c>
      <c r="L667" t="s">
        <v>2181</v>
      </c>
      <c r="M667" t="s">
        <v>2182</v>
      </c>
      <c r="N667">
        <v>6</v>
      </c>
      <c r="O667">
        <v>38945</v>
      </c>
    </row>
    <row r="668" spans="1:15" x14ac:dyDescent="0.35">
      <c r="A668" t="s">
        <v>15</v>
      </c>
      <c r="B668" t="s">
        <v>16</v>
      </c>
      <c r="C668" t="s">
        <v>36</v>
      </c>
      <c r="D668" t="s">
        <v>703</v>
      </c>
      <c r="E668" t="s">
        <v>1663</v>
      </c>
      <c r="F668" t="s">
        <v>125</v>
      </c>
      <c r="G668" t="s">
        <v>169</v>
      </c>
      <c r="H668" t="s">
        <v>41</v>
      </c>
      <c r="I668" t="s">
        <v>23</v>
      </c>
      <c r="J668" s="1">
        <v>261060</v>
      </c>
      <c r="K668" t="s">
        <v>704</v>
      </c>
      <c r="L668" t="s">
        <v>2183</v>
      </c>
      <c r="M668" t="s">
        <v>118</v>
      </c>
      <c r="N668">
        <v>14</v>
      </c>
      <c r="O668">
        <v>9586</v>
      </c>
    </row>
    <row r="669" spans="1:15" x14ac:dyDescent="0.35">
      <c r="A669" t="s">
        <v>15</v>
      </c>
      <c r="B669" t="s">
        <v>16</v>
      </c>
      <c r="C669" t="s">
        <v>61</v>
      </c>
      <c r="D669" t="s">
        <v>2184</v>
      </c>
      <c r="E669" t="s">
        <v>2185</v>
      </c>
      <c r="F669" t="s">
        <v>196</v>
      </c>
      <c r="G669" t="s">
        <v>86</v>
      </c>
      <c r="H669" t="s">
        <v>41</v>
      </c>
      <c r="I669" t="s">
        <v>23</v>
      </c>
      <c r="J669">
        <v>990</v>
      </c>
      <c r="K669" t="s">
        <v>23</v>
      </c>
      <c r="L669" t="s">
        <v>2186</v>
      </c>
      <c r="M669" t="s">
        <v>2187</v>
      </c>
      <c r="N669">
        <v>7</v>
      </c>
      <c r="O669">
        <v>54805</v>
      </c>
    </row>
    <row r="670" spans="1:15" x14ac:dyDescent="0.35">
      <c r="A670" t="s">
        <v>15</v>
      </c>
      <c r="B670" t="s">
        <v>27</v>
      </c>
      <c r="C670" t="s">
        <v>61</v>
      </c>
      <c r="D670" t="s">
        <v>655</v>
      </c>
      <c r="E670" t="s">
        <v>1983</v>
      </c>
      <c r="F670" t="s">
        <v>39</v>
      </c>
      <c r="G670" t="s">
        <v>656</v>
      </c>
      <c r="H670" t="s">
        <v>115</v>
      </c>
      <c r="I670" t="s">
        <v>23</v>
      </c>
      <c r="J670" s="1">
        <v>300010</v>
      </c>
      <c r="K670" t="s">
        <v>2188</v>
      </c>
      <c r="L670" t="s">
        <v>2189</v>
      </c>
      <c r="M670" t="s">
        <v>110</v>
      </c>
      <c r="O670">
        <v>197555</v>
      </c>
    </row>
    <row r="671" spans="1:15" x14ac:dyDescent="0.35">
      <c r="A671" t="s">
        <v>15</v>
      </c>
      <c r="B671" t="s">
        <v>16</v>
      </c>
      <c r="C671" t="s">
        <v>36</v>
      </c>
      <c r="D671" t="s">
        <v>2190</v>
      </c>
      <c r="E671" t="s">
        <v>2191</v>
      </c>
      <c r="F671" t="s">
        <v>196</v>
      </c>
      <c r="G671" t="s">
        <v>523</v>
      </c>
      <c r="H671" t="s">
        <v>32</v>
      </c>
      <c r="I671" t="s">
        <v>23</v>
      </c>
      <c r="J671" s="1">
        <v>101040</v>
      </c>
      <c r="K671" t="s">
        <v>2192</v>
      </c>
      <c r="L671" t="s">
        <v>2193</v>
      </c>
      <c r="M671" t="s">
        <v>2194</v>
      </c>
      <c r="N671">
        <v>7</v>
      </c>
      <c r="O671">
        <v>91341.5</v>
      </c>
    </row>
    <row r="672" spans="1:15" x14ac:dyDescent="0.35">
      <c r="A672" t="s">
        <v>15</v>
      </c>
      <c r="B672" t="s">
        <v>69</v>
      </c>
      <c r="C672" t="s">
        <v>61</v>
      </c>
      <c r="D672" t="s">
        <v>168</v>
      </c>
      <c r="E672" t="s">
        <v>128</v>
      </c>
      <c r="F672" t="s">
        <v>39</v>
      </c>
      <c r="G672" t="s">
        <v>169</v>
      </c>
      <c r="H672" t="s">
        <v>41</v>
      </c>
      <c r="I672" t="s">
        <v>23</v>
      </c>
      <c r="J672" s="1">
        <v>222050</v>
      </c>
      <c r="K672" t="s">
        <v>692</v>
      </c>
      <c r="L672" t="s">
        <v>171</v>
      </c>
      <c r="M672" t="s">
        <v>172</v>
      </c>
      <c r="O672">
        <v>10049</v>
      </c>
    </row>
    <row r="673" spans="1:15" x14ac:dyDescent="0.35">
      <c r="A673" t="s">
        <v>15</v>
      </c>
      <c r="B673" t="s">
        <v>16</v>
      </c>
      <c r="C673" t="s">
        <v>36</v>
      </c>
      <c r="D673" t="s">
        <v>1073</v>
      </c>
      <c r="E673" t="s">
        <v>2195</v>
      </c>
      <c r="F673" t="s">
        <v>64</v>
      </c>
      <c r="G673" t="s">
        <v>1075</v>
      </c>
      <c r="H673" t="s">
        <v>41</v>
      </c>
      <c r="I673" t="s">
        <v>23</v>
      </c>
      <c r="J673" s="1">
        <v>83550</v>
      </c>
      <c r="K673" t="s">
        <v>23</v>
      </c>
      <c r="L673" t="s">
        <v>2196</v>
      </c>
      <c r="M673" t="s">
        <v>2197</v>
      </c>
      <c r="N673">
        <v>3</v>
      </c>
      <c r="O673">
        <v>163126</v>
      </c>
    </row>
    <row r="674" spans="1:15" x14ac:dyDescent="0.35">
      <c r="A674" t="s">
        <v>15</v>
      </c>
      <c r="B674" t="s">
        <v>16</v>
      </c>
      <c r="C674" t="s">
        <v>36</v>
      </c>
      <c r="D674" t="s">
        <v>750</v>
      </c>
      <c r="E674" t="s">
        <v>2198</v>
      </c>
      <c r="F674" t="s">
        <v>39</v>
      </c>
      <c r="G674" t="s">
        <v>752</v>
      </c>
      <c r="H674" t="s">
        <v>41</v>
      </c>
      <c r="I674" t="s">
        <v>23</v>
      </c>
      <c r="J674" s="1">
        <v>20010</v>
      </c>
      <c r="K674" t="s">
        <v>23</v>
      </c>
      <c r="L674" t="s">
        <v>2199</v>
      </c>
      <c r="M674" t="s">
        <v>118</v>
      </c>
      <c r="O674">
        <v>96180</v>
      </c>
    </row>
    <row r="675" spans="1:15" x14ac:dyDescent="0.35">
      <c r="A675" t="s">
        <v>15</v>
      </c>
      <c r="B675" t="s">
        <v>16</v>
      </c>
      <c r="C675" t="s">
        <v>82</v>
      </c>
      <c r="D675" t="s">
        <v>550</v>
      </c>
      <c r="E675" t="s">
        <v>1148</v>
      </c>
      <c r="F675" t="s">
        <v>39</v>
      </c>
      <c r="G675" t="s">
        <v>65</v>
      </c>
      <c r="H675" t="s">
        <v>41</v>
      </c>
      <c r="I675" t="s">
        <v>23</v>
      </c>
      <c r="J675" s="1">
        <v>10070</v>
      </c>
      <c r="K675" t="s">
        <v>23</v>
      </c>
      <c r="L675" t="s">
        <v>552</v>
      </c>
      <c r="M675" t="s">
        <v>2200</v>
      </c>
      <c r="O675">
        <v>99560</v>
      </c>
    </row>
    <row r="676" spans="1:15" x14ac:dyDescent="0.35">
      <c r="A676" t="s">
        <v>15</v>
      </c>
      <c r="B676" t="s">
        <v>99</v>
      </c>
      <c r="C676" t="s">
        <v>61</v>
      </c>
      <c r="D676" t="s">
        <v>579</v>
      </c>
      <c r="E676" t="s">
        <v>860</v>
      </c>
      <c r="F676" t="s">
        <v>39</v>
      </c>
      <c r="G676" t="s">
        <v>580</v>
      </c>
      <c r="H676" t="s">
        <v>41</v>
      </c>
      <c r="I676" t="s">
        <v>23</v>
      </c>
      <c r="J676" s="1">
        <v>27390</v>
      </c>
      <c r="K676" t="s">
        <v>23</v>
      </c>
      <c r="L676" t="s">
        <v>2201</v>
      </c>
      <c r="M676" t="s">
        <v>2202</v>
      </c>
      <c r="O676">
        <v>134184.5</v>
      </c>
    </row>
    <row r="677" spans="1:15" x14ac:dyDescent="0.35">
      <c r="A677" t="s">
        <v>15</v>
      </c>
      <c r="B677" t="s">
        <v>16</v>
      </c>
      <c r="C677" t="s">
        <v>82</v>
      </c>
      <c r="D677" t="s">
        <v>550</v>
      </c>
      <c r="E677" t="s">
        <v>2203</v>
      </c>
      <c r="F677" t="s">
        <v>39</v>
      </c>
      <c r="G677" t="s">
        <v>65</v>
      </c>
      <c r="H677" t="s">
        <v>41</v>
      </c>
      <c r="I677" t="s">
        <v>23</v>
      </c>
      <c r="J677" s="1">
        <v>10020</v>
      </c>
      <c r="K677" t="s">
        <v>23</v>
      </c>
      <c r="L677" t="s">
        <v>2204</v>
      </c>
      <c r="M677" t="s">
        <v>2205</v>
      </c>
      <c r="O677">
        <v>99554</v>
      </c>
    </row>
    <row r="678" spans="1:15" x14ac:dyDescent="0.35">
      <c r="A678" t="s">
        <v>15</v>
      </c>
      <c r="B678" t="s">
        <v>16</v>
      </c>
      <c r="C678" t="s">
        <v>82</v>
      </c>
      <c r="D678" t="s">
        <v>962</v>
      </c>
      <c r="E678" t="s">
        <v>2206</v>
      </c>
      <c r="F678" t="s">
        <v>399</v>
      </c>
      <c r="G678" t="s">
        <v>964</v>
      </c>
      <c r="H678" t="s">
        <v>41</v>
      </c>
      <c r="I678" t="s">
        <v>61</v>
      </c>
      <c r="J678" t="s">
        <v>58</v>
      </c>
      <c r="K678" t="s">
        <v>965</v>
      </c>
      <c r="L678" t="s">
        <v>2207</v>
      </c>
      <c r="M678" t="s">
        <v>1975</v>
      </c>
      <c r="N678">
        <v>5</v>
      </c>
      <c r="O678">
        <v>7678</v>
      </c>
    </row>
    <row r="679" spans="1:15" x14ac:dyDescent="0.35">
      <c r="A679" t="s">
        <v>15</v>
      </c>
      <c r="B679" t="s">
        <v>16</v>
      </c>
      <c r="C679" t="s">
        <v>36</v>
      </c>
      <c r="D679" t="s">
        <v>579</v>
      </c>
      <c r="E679" t="s">
        <v>2208</v>
      </c>
      <c r="F679" t="s">
        <v>39</v>
      </c>
      <c r="G679" t="s">
        <v>580</v>
      </c>
      <c r="H679" t="s">
        <v>41</v>
      </c>
      <c r="I679" t="s">
        <v>23</v>
      </c>
      <c r="J679" s="1">
        <v>27400</v>
      </c>
      <c r="K679" t="s">
        <v>23</v>
      </c>
      <c r="L679" t="s">
        <v>2209</v>
      </c>
      <c r="M679" t="s">
        <v>2210</v>
      </c>
      <c r="O679">
        <v>109180</v>
      </c>
    </row>
    <row r="680" spans="1:15" x14ac:dyDescent="0.35">
      <c r="A680" t="s">
        <v>15</v>
      </c>
      <c r="B680" t="s">
        <v>16</v>
      </c>
      <c r="C680" t="s">
        <v>36</v>
      </c>
      <c r="D680" t="s">
        <v>1734</v>
      </c>
      <c r="E680" t="s">
        <v>228</v>
      </c>
      <c r="F680" t="s">
        <v>196</v>
      </c>
      <c r="G680" t="s">
        <v>1354</v>
      </c>
      <c r="H680" t="s">
        <v>41</v>
      </c>
      <c r="I680" t="s">
        <v>23</v>
      </c>
      <c r="J680" s="1">
        <v>1300</v>
      </c>
      <c r="K680" t="s">
        <v>23</v>
      </c>
      <c r="L680" t="s">
        <v>2211</v>
      </c>
      <c r="M680" t="s">
        <v>2212</v>
      </c>
      <c r="N680">
        <v>7</v>
      </c>
      <c r="O680">
        <v>129473</v>
      </c>
    </row>
    <row r="681" spans="1:15" x14ac:dyDescent="0.35">
      <c r="A681" t="s">
        <v>15</v>
      </c>
      <c r="B681" t="s">
        <v>16</v>
      </c>
      <c r="C681" t="s">
        <v>36</v>
      </c>
      <c r="D681" t="s">
        <v>915</v>
      </c>
      <c r="E681" t="s">
        <v>540</v>
      </c>
      <c r="F681" t="s">
        <v>39</v>
      </c>
      <c r="G681" t="s">
        <v>916</v>
      </c>
      <c r="H681" t="s">
        <v>57</v>
      </c>
      <c r="I681" t="s">
        <v>23</v>
      </c>
      <c r="J681" s="1">
        <v>62040</v>
      </c>
      <c r="K681" t="s">
        <v>1708</v>
      </c>
      <c r="L681" t="s">
        <v>2213</v>
      </c>
      <c r="M681" t="s">
        <v>2080</v>
      </c>
      <c r="O681">
        <v>216741</v>
      </c>
    </row>
    <row r="682" spans="1:15" x14ac:dyDescent="0.35">
      <c r="A682" t="s">
        <v>15</v>
      </c>
      <c r="B682" t="s">
        <v>99</v>
      </c>
      <c r="C682" t="s">
        <v>61</v>
      </c>
      <c r="D682" t="s">
        <v>1802</v>
      </c>
      <c r="E682" t="s">
        <v>318</v>
      </c>
      <c r="F682" t="s">
        <v>125</v>
      </c>
      <c r="G682" t="s">
        <v>1803</v>
      </c>
      <c r="H682" t="s">
        <v>41</v>
      </c>
      <c r="I682" t="s">
        <v>23</v>
      </c>
      <c r="J682" s="1">
        <v>492235</v>
      </c>
      <c r="K682" t="s">
        <v>2214</v>
      </c>
      <c r="L682" t="s">
        <v>2215</v>
      </c>
      <c r="M682" t="s">
        <v>2216</v>
      </c>
      <c r="N682">
        <v>14</v>
      </c>
      <c r="O682">
        <v>19460</v>
      </c>
    </row>
    <row r="683" spans="1:15" x14ac:dyDescent="0.35">
      <c r="A683" t="s">
        <v>15</v>
      </c>
      <c r="B683" t="s">
        <v>16</v>
      </c>
      <c r="C683" t="s">
        <v>82</v>
      </c>
      <c r="D683" t="s">
        <v>1238</v>
      </c>
      <c r="E683" t="s">
        <v>84</v>
      </c>
      <c r="F683" t="s">
        <v>1239</v>
      </c>
      <c r="G683" t="s">
        <v>90</v>
      </c>
      <c r="H683" t="s">
        <v>156</v>
      </c>
      <c r="I683" t="s">
        <v>58</v>
      </c>
      <c r="J683">
        <v>90</v>
      </c>
      <c r="K683" t="s">
        <v>58</v>
      </c>
      <c r="L683" t="s">
        <v>2217</v>
      </c>
      <c r="M683" t="s">
        <v>60</v>
      </c>
      <c r="N683">
        <v>6</v>
      </c>
      <c r="O683">
        <v>189518</v>
      </c>
    </row>
    <row r="684" spans="1:15" x14ac:dyDescent="0.35">
      <c r="A684" t="s">
        <v>75</v>
      </c>
      <c r="B684" t="s">
        <v>16</v>
      </c>
      <c r="C684" t="s">
        <v>61</v>
      </c>
      <c r="D684" t="s">
        <v>1802</v>
      </c>
      <c r="E684" t="s">
        <v>128</v>
      </c>
      <c r="F684" t="s">
        <v>125</v>
      </c>
      <c r="G684" t="s">
        <v>1803</v>
      </c>
      <c r="H684" t="s">
        <v>41</v>
      </c>
      <c r="I684" t="s">
        <v>23</v>
      </c>
      <c r="J684" s="1">
        <v>492235</v>
      </c>
      <c r="K684" t="s">
        <v>2218</v>
      </c>
      <c r="L684" t="s">
        <v>2219</v>
      </c>
      <c r="M684" t="s">
        <v>659</v>
      </c>
      <c r="N684">
        <v>14</v>
      </c>
      <c r="O684">
        <v>18355.5</v>
      </c>
    </row>
    <row r="685" spans="1:15" x14ac:dyDescent="0.35">
      <c r="A685" t="s">
        <v>15</v>
      </c>
      <c r="B685" t="s">
        <v>52</v>
      </c>
      <c r="C685" t="s">
        <v>36</v>
      </c>
      <c r="D685" t="s">
        <v>286</v>
      </c>
      <c r="E685" t="s">
        <v>287</v>
      </c>
      <c r="F685" t="s">
        <v>39</v>
      </c>
      <c r="G685" t="s">
        <v>90</v>
      </c>
      <c r="H685" t="s">
        <v>57</v>
      </c>
      <c r="I685" t="s">
        <v>58</v>
      </c>
      <c r="J685">
        <v>950</v>
      </c>
      <c r="K685" t="s">
        <v>2220</v>
      </c>
      <c r="L685" t="s">
        <v>2221</v>
      </c>
      <c r="M685" t="s">
        <v>60</v>
      </c>
      <c r="O685">
        <v>156184.5</v>
      </c>
    </row>
    <row r="686" spans="1:15" x14ac:dyDescent="0.35">
      <c r="A686" t="s">
        <v>15</v>
      </c>
      <c r="B686" t="s">
        <v>16</v>
      </c>
      <c r="C686" t="s">
        <v>61</v>
      </c>
      <c r="D686" t="s">
        <v>2222</v>
      </c>
      <c r="E686" t="s">
        <v>646</v>
      </c>
      <c r="F686" t="s">
        <v>399</v>
      </c>
      <c r="G686" t="s">
        <v>647</v>
      </c>
      <c r="H686" t="s">
        <v>41</v>
      </c>
      <c r="I686" t="s">
        <v>23</v>
      </c>
      <c r="J686" s="1">
        <v>36130</v>
      </c>
      <c r="K686" t="s">
        <v>23</v>
      </c>
      <c r="L686" t="s">
        <v>2223</v>
      </c>
      <c r="M686" t="s">
        <v>2224</v>
      </c>
      <c r="N686">
        <v>5</v>
      </c>
      <c r="O686">
        <v>116419.5</v>
      </c>
    </row>
    <row r="687" spans="1:15" x14ac:dyDescent="0.35">
      <c r="A687" t="s">
        <v>15</v>
      </c>
      <c r="B687" t="s">
        <v>16</v>
      </c>
      <c r="C687" t="s">
        <v>61</v>
      </c>
      <c r="D687" t="s">
        <v>1929</v>
      </c>
      <c r="E687" t="s">
        <v>974</v>
      </c>
      <c r="F687" t="s">
        <v>139</v>
      </c>
      <c r="G687" t="s">
        <v>229</v>
      </c>
      <c r="H687" t="s">
        <v>57</v>
      </c>
      <c r="I687" t="s">
        <v>58</v>
      </c>
      <c r="J687" s="1">
        <v>312010</v>
      </c>
      <c r="K687" t="s">
        <v>58</v>
      </c>
      <c r="L687" t="s">
        <v>2225</v>
      </c>
      <c r="M687" t="s">
        <v>60</v>
      </c>
      <c r="N687">
        <v>13</v>
      </c>
      <c r="O687">
        <v>28046</v>
      </c>
    </row>
    <row r="688" spans="1:15" x14ac:dyDescent="0.35">
      <c r="A688" t="s">
        <v>15</v>
      </c>
      <c r="B688" t="s">
        <v>16</v>
      </c>
      <c r="C688" t="s">
        <v>36</v>
      </c>
      <c r="D688" t="s">
        <v>767</v>
      </c>
      <c r="E688" t="s">
        <v>1439</v>
      </c>
      <c r="F688" t="s">
        <v>125</v>
      </c>
      <c r="G688" t="s">
        <v>769</v>
      </c>
      <c r="H688" t="s">
        <v>41</v>
      </c>
      <c r="I688" t="s">
        <v>23</v>
      </c>
      <c r="J688" s="1">
        <v>65140</v>
      </c>
      <c r="K688" t="s">
        <v>23</v>
      </c>
      <c r="L688" t="s">
        <v>2226</v>
      </c>
      <c r="M688" t="s">
        <v>1689</v>
      </c>
      <c r="N688">
        <v>14</v>
      </c>
      <c r="O688">
        <v>107357</v>
      </c>
    </row>
    <row r="689" spans="1:15" x14ac:dyDescent="0.35">
      <c r="A689" t="s">
        <v>15</v>
      </c>
      <c r="B689" t="s">
        <v>16</v>
      </c>
      <c r="C689" t="s">
        <v>36</v>
      </c>
      <c r="D689" t="s">
        <v>664</v>
      </c>
      <c r="E689" t="s">
        <v>665</v>
      </c>
      <c r="F689" t="s">
        <v>847</v>
      </c>
      <c r="G689" t="s">
        <v>79</v>
      </c>
      <c r="H689" t="s">
        <v>41</v>
      </c>
      <c r="I689" t="s">
        <v>23</v>
      </c>
      <c r="J689" s="1">
        <v>94580</v>
      </c>
      <c r="K689" t="s">
        <v>666</v>
      </c>
      <c r="L689" t="s">
        <v>2227</v>
      </c>
      <c r="M689" t="s">
        <v>118</v>
      </c>
      <c r="N689">
        <v>16</v>
      </c>
      <c r="O689">
        <v>159379</v>
      </c>
    </row>
    <row r="690" spans="1:15" x14ac:dyDescent="0.35">
      <c r="A690" t="s">
        <v>15</v>
      </c>
      <c r="B690" t="s">
        <v>16</v>
      </c>
      <c r="C690" t="s">
        <v>82</v>
      </c>
      <c r="D690" t="s">
        <v>1879</v>
      </c>
      <c r="E690" t="s">
        <v>1880</v>
      </c>
      <c r="F690" t="s">
        <v>30</v>
      </c>
      <c r="G690" t="s">
        <v>1881</v>
      </c>
      <c r="H690" t="s">
        <v>115</v>
      </c>
      <c r="I690" t="s">
        <v>23</v>
      </c>
      <c r="J690" s="1">
        <v>4560</v>
      </c>
      <c r="K690" t="s">
        <v>23</v>
      </c>
      <c r="L690" t="s">
        <v>2228</v>
      </c>
      <c r="M690" t="s">
        <v>60</v>
      </c>
      <c r="N690">
        <v>15</v>
      </c>
      <c r="O690">
        <v>168967</v>
      </c>
    </row>
    <row r="691" spans="1:15" x14ac:dyDescent="0.35">
      <c r="A691" t="s">
        <v>15</v>
      </c>
      <c r="B691" t="s">
        <v>16</v>
      </c>
      <c r="C691" t="s">
        <v>36</v>
      </c>
      <c r="D691" t="s">
        <v>18</v>
      </c>
      <c r="E691" t="s">
        <v>2049</v>
      </c>
      <c r="F691" t="s">
        <v>847</v>
      </c>
      <c r="G691" t="s">
        <v>21</v>
      </c>
      <c r="H691" t="s">
        <v>22</v>
      </c>
      <c r="I691" t="s">
        <v>23</v>
      </c>
      <c r="J691" t="s">
        <v>24</v>
      </c>
      <c r="K691" t="s">
        <v>23</v>
      </c>
      <c r="L691" t="s">
        <v>2229</v>
      </c>
      <c r="M691" t="s">
        <v>2127</v>
      </c>
      <c r="N691">
        <v>16</v>
      </c>
      <c r="O691">
        <v>195911</v>
      </c>
    </row>
    <row r="692" spans="1:15" x14ac:dyDescent="0.35">
      <c r="A692" t="s">
        <v>15</v>
      </c>
      <c r="B692" t="s">
        <v>16</v>
      </c>
      <c r="C692" t="s">
        <v>36</v>
      </c>
      <c r="D692" t="s">
        <v>762</v>
      </c>
      <c r="E692" t="s">
        <v>2230</v>
      </c>
      <c r="F692" t="s">
        <v>431</v>
      </c>
      <c r="G692" t="s">
        <v>764</v>
      </c>
      <c r="H692" t="s">
        <v>115</v>
      </c>
      <c r="I692" t="s">
        <v>23</v>
      </c>
      <c r="J692" s="1">
        <v>37990</v>
      </c>
      <c r="K692" t="s">
        <v>23</v>
      </c>
      <c r="L692" t="s">
        <v>2231</v>
      </c>
      <c r="M692" t="s">
        <v>2232</v>
      </c>
      <c r="N692">
        <v>21</v>
      </c>
      <c r="O692">
        <v>31352</v>
      </c>
    </row>
    <row r="693" spans="1:15" x14ac:dyDescent="0.35">
      <c r="A693" t="s">
        <v>15</v>
      </c>
      <c r="B693" t="s">
        <v>27</v>
      </c>
      <c r="C693" t="s">
        <v>61</v>
      </c>
      <c r="D693" t="s">
        <v>601</v>
      </c>
      <c r="E693" t="s">
        <v>128</v>
      </c>
      <c r="F693" t="s">
        <v>30</v>
      </c>
      <c r="G693" t="s">
        <v>65</v>
      </c>
      <c r="H693" t="s">
        <v>57</v>
      </c>
      <c r="I693" t="s">
        <v>23</v>
      </c>
      <c r="J693" s="1">
        <v>290740</v>
      </c>
      <c r="K693" t="s">
        <v>2233</v>
      </c>
      <c r="L693" t="s">
        <v>2234</v>
      </c>
      <c r="M693" t="s">
        <v>2235</v>
      </c>
      <c r="N693">
        <v>15</v>
      </c>
      <c r="O693">
        <v>35607</v>
      </c>
    </row>
    <row r="694" spans="1:15" x14ac:dyDescent="0.35">
      <c r="A694" t="s">
        <v>15</v>
      </c>
      <c r="B694" t="s">
        <v>16</v>
      </c>
      <c r="C694" t="s">
        <v>61</v>
      </c>
      <c r="D694" t="s">
        <v>1531</v>
      </c>
      <c r="E694" t="s">
        <v>743</v>
      </c>
      <c r="F694" t="s">
        <v>39</v>
      </c>
      <c r="G694" t="s">
        <v>412</v>
      </c>
      <c r="H694" t="s">
        <v>41</v>
      </c>
      <c r="I694" t="s">
        <v>23</v>
      </c>
      <c r="J694" s="1">
        <v>17050</v>
      </c>
      <c r="K694" t="s">
        <v>1967</v>
      </c>
      <c r="L694" t="s">
        <v>2236</v>
      </c>
      <c r="M694" t="s">
        <v>241</v>
      </c>
      <c r="O694">
        <v>173536</v>
      </c>
    </row>
    <row r="695" spans="1:15" x14ac:dyDescent="0.35">
      <c r="A695" t="s">
        <v>15</v>
      </c>
      <c r="B695" t="s">
        <v>16</v>
      </c>
      <c r="C695" t="s">
        <v>36</v>
      </c>
      <c r="D695" t="s">
        <v>750</v>
      </c>
      <c r="E695" t="s">
        <v>751</v>
      </c>
      <c r="F695" t="s">
        <v>341</v>
      </c>
      <c r="G695" t="s">
        <v>752</v>
      </c>
      <c r="H695" t="s">
        <v>41</v>
      </c>
      <c r="I695" t="s">
        <v>23</v>
      </c>
      <c r="J695" s="1">
        <v>20020</v>
      </c>
      <c r="K695" t="s">
        <v>23</v>
      </c>
      <c r="L695" t="s">
        <v>2237</v>
      </c>
      <c r="M695" t="s">
        <v>352</v>
      </c>
      <c r="N695">
        <v>2</v>
      </c>
      <c r="O695">
        <v>99006</v>
      </c>
    </row>
    <row r="696" spans="1:15" x14ac:dyDescent="0.35">
      <c r="A696" t="s">
        <v>15</v>
      </c>
      <c r="B696" t="s">
        <v>16</v>
      </c>
      <c r="C696" t="s">
        <v>36</v>
      </c>
      <c r="D696" t="s">
        <v>2238</v>
      </c>
      <c r="E696" t="s">
        <v>165</v>
      </c>
      <c r="F696" t="s">
        <v>125</v>
      </c>
      <c r="G696" t="s">
        <v>2239</v>
      </c>
      <c r="H696" t="s">
        <v>41</v>
      </c>
      <c r="I696" t="s">
        <v>23</v>
      </c>
      <c r="J696" s="1">
        <v>6030</v>
      </c>
      <c r="K696" t="s">
        <v>2240</v>
      </c>
      <c r="L696" t="s">
        <v>2241</v>
      </c>
      <c r="M696" t="s">
        <v>475</v>
      </c>
      <c r="N696">
        <v>14</v>
      </c>
      <c r="O696">
        <v>246789.5</v>
      </c>
    </row>
    <row r="697" spans="1:15" x14ac:dyDescent="0.35">
      <c r="A697" t="s">
        <v>15</v>
      </c>
      <c r="B697" t="s">
        <v>16</v>
      </c>
      <c r="C697" t="s">
        <v>36</v>
      </c>
      <c r="D697" t="s">
        <v>2242</v>
      </c>
      <c r="E697" t="s">
        <v>2243</v>
      </c>
      <c r="F697" t="s">
        <v>2244</v>
      </c>
      <c r="G697" t="s">
        <v>90</v>
      </c>
      <c r="H697" t="s">
        <v>41</v>
      </c>
      <c r="I697" t="s">
        <v>58</v>
      </c>
      <c r="J697" s="1">
        <v>2270</v>
      </c>
      <c r="K697" t="s">
        <v>2245</v>
      </c>
      <c r="L697" t="s">
        <v>2246</v>
      </c>
      <c r="M697" t="s">
        <v>60</v>
      </c>
      <c r="N697">
        <v>18</v>
      </c>
      <c r="O697">
        <v>209476</v>
      </c>
    </row>
    <row r="698" spans="1:15" x14ac:dyDescent="0.35">
      <c r="A698" t="s">
        <v>15</v>
      </c>
      <c r="B698" t="s">
        <v>69</v>
      </c>
      <c r="C698" t="s">
        <v>17</v>
      </c>
      <c r="D698" t="s">
        <v>1600</v>
      </c>
      <c r="E698" t="s">
        <v>2247</v>
      </c>
      <c r="F698" t="s">
        <v>30</v>
      </c>
      <c r="G698" t="s">
        <v>1236</v>
      </c>
      <c r="H698" t="s">
        <v>41</v>
      </c>
      <c r="I698" t="s">
        <v>58</v>
      </c>
      <c r="J698" s="1">
        <v>263590</v>
      </c>
      <c r="K698" t="s">
        <v>901</v>
      </c>
      <c r="L698" t="s">
        <v>2248</v>
      </c>
      <c r="M698" t="s">
        <v>1604</v>
      </c>
      <c r="N698">
        <v>15</v>
      </c>
      <c r="O698">
        <v>32159</v>
      </c>
    </row>
    <row r="699" spans="1:15" x14ac:dyDescent="0.35">
      <c r="A699" t="s">
        <v>75</v>
      </c>
      <c r="B699" t="s">
        <v>27</v>
      </c>
      <c r="C699" t="s">
        <v>36</v>
      </c>
      <c r="D699" t="s">
        <v>601</v>
      </c>
      <c r="E699" t="s">
        <v>2249</v>
      </c>
      <c r="F699" t="s">
        <v>39</v>
      </c>
      <c r="G699" t="s">
        <v>65</v>
      </c>
      <c r="H699" t="s">
        <v>57</v>
      </c>
      <c r="I699" t="s">
        <v>23</v>
      </c>
      <c r="J699" s="1">
        <v>290790</v>
      </c>
      <c r="K699" t="s">
        <v>2250</v>
      </c>
      <c r="L699" t="s">
        <v>2251</v>
      </c>
      <c r="M699" t="s">
        <v>2252</v>
      </c>
      <c r="O699">
        <v>200933</v>
      </c>
    </row>
    <row r="700" spans="1:15" x14ac:dyDescent="0.35">
      <c r="A700" t="s">
        <v>15</v>
      </c>
      <c r="B700" t="s">
        <v>16</v>
      </c>
      <c r="C700" t="s">
        <v>61</v>
      </c>
      <c r="D700" t="s">
        <v>1531</v>
      </c>
      <c r="E700" t="s">
        <v>248</v>
      </c>
      <c r="F700" t="s">
        <v>125</v>
      </c>
      <c r="G700" t="s">
        <v>412</v>
      </c>
      <c r="H700" t="s">
        <v>41</v>
      </c>
      <c r="I700" t="s">
        <v>23</v>
      </c>
      <c r="J700" s="1">
        <v>17040</v>
      </c>
      <c r="K700" t="s">
        <v>2067</v>
      </c>
      <c r="L700" t="s">
        <v>2253</v>
      </c>
      <c r="M700" t="s">
        <v>2254</v>
      </c>
      <c r="N700">
        <v>14</v>
      </c>
      <c r="O700">
        <v>168966</v>
      </c>
    </row>
    <row r="701" spans="1:15" x14ac:dyDescent="0.35">
      <c r="A701" t="s">
        <v>15</v>
      </c>
      <c r="B701" t="s">
        <v>16</v>
      </c>
      <c r="C701" t="s">
        <v>61</v>
      </c>
      <c r="D701" t="s">
        <v>1871</v>
      </c>
      <c r="E701" t="s">
        <v>2255</v>
      </c>
      <c r="F701" t="s">
        <v>441</v>
      </c>
      <c r="G701" t="s">
        <v>249</v>
      </c>
      <c r="H701" t="s">
        <v>41</v>
      </c>
      <c r="I701" t="s">
        <v>58</v>
      </c>
      <c r="J701">
        <v>950</v>
      </c>
      <c r="K701" t="s">
        <v>58</v>
      </c>
      <c r="L701" t="s">
        <v>2256</v>
      </c>
      <c r="M701" t="s">
        <v>2257</v>
      </c>
      <c r="N701">
        <v>10</v>
      </c>
      <c r="O701">
        <v>2283322</v>
      </c>
    </row>
    <row r="702" spans="1:15" x14ac:dyDescent="0.35">
      <c r="A702" t="s">
        <v>2258</v>
      </c>
      <c r="B702" t="s">
        <v>16</v>
      </c>
      <c r="C702" t="s">
        <v>36</v>
      </c>
      <c r="D702" t="s">
        <v>371</v>
      </c>
      <c r="E702" t="s">
        <v>2259</v>
      </c>
      <c r="F702" t="s">
        <v>341</v>
      </c>
      <c r="G702" t="s">
        <v>204</v>
      </c>
      <c r="H702" t="s">
        <v>22</v>
      </c>
      <c r="I702" t="s">
        <v>23</v>
      </c>
      <c r="J702" s="1">
        <v>865456</v>
      </c>
      <c r="K702" t="s">
        <v>2260</v>
      </c>
      <c r="L702" t="s">
        <v>2261</v>
      </c>
      <c r="M702" t="s">
        <v>2262</v>
      </c>
      <c r="N702">
        <v>2</v>
      </c>
      <c r="O702">
        <v>168515.5</v>
      </c>
    </row>
    <row r="703" spans="1:15" x14ac:dyDescent="0.35">
      <c r="A703" t="s">
        <v>15</v>
      </c>
      <c r="B703" t="s">
        <v>27</v>
      </c>
      <c r="C703" t="s">
        <v>36</v>
      </c>
      <c r="D703" t="s">
        <v>664</v>
      </c>
      <c r="E703" t="s">
        <v>77</v>
      </c>
      <c r="F703" t="s">
        <v>1149</v>
      </c>
      <c r="G703" t="s">
        <v>79</v>
      </c>
      <c r="H703" t="s">
        <v>41</v>
      </c>
      <c r="I703" t="s">
        <v>23</v>
      </c>
      <c r="J703" s="1">
        <v>94590</v>
      </c>
      <c r="K703" t="s">
        <v>666</v>
      </c>
      <c r="L703" t="s">
        <v>2263</v>
      </c>
      <c r="M703" t="s">
        <v>81</v>
      </c>
      <c r="N703">
        <v>18</v>
      </c>
      <c r="O703">
        <v>258933.5</v>
      </c>
    </row>
    <row r="704" spans="1:15" x14ac:dyDescent="0.35">
      <c r="A704" t="s">
        <v>15</v>
      </c>
      <c r="B704" t="s">
        <v>99</v>
      </c>
      <c r="C704" t="s">
        <v>82</v>
      </c>
      <c r="D704" t="s">
        <v>962</v>
      </c>
      <c r="E704" t="s">
        <v>2264</v>
      </c>
      <c r="F704" t="s">
        <v>125</v>
      </c>
      <c r="G704" t="s">
        <v>964</v>
      </c>
      <c r="H704" t="s">
        <v>41</v>
      </c>
      <c r="I704" t="s">
        <v>61</v>
      </c>
      <c r="J704" t="s">
        <v>58</v>
      </c>
      <c r="K704" t="s">
        <v>965</v>
      </c>
      <c r="L704" t="s">
        <v>1002</v>
      </c>
      <c r="M704" t="s">
        <v>110</v>
      </c>
      <c r="N704">
        <v>14</v>
      </c>
      <c r="O704">
        <v>25214</v>
      </c>
    </row>
    <row r="705" spans="1:15" x14ac:dyDescent="0.35">
      <c r="A705" t="s">
        <v>15</v>
      </c>
      <c r="B705" t="s">
        <v>16</v>
      </c>
      <c r="C705" t="s">
        <v>17</v>
      </c>
      <c r="D705" t="s">
        <v>45</v>
      </c>
      <c r="E705" t="s">
        <v>1223</v>
      </c>
      <c r="F705" t="s">
        <v>244</v>
      </c>
      <c r="G705" t="s">
        <v>48</v>
      </c>
      <c r="H705" t="s">
        <v>41</v>
      </c>
      <c r="I705" t="s">
        <v>23</v>
      </c>
      <c r="J705" s="1">
        <v>34630</v>
      </c>
      <c r="K705" t="s">
        <v>2265</v>
      </c>
      <c r="L705" t="s">
        <v>2266</v>
      </c>
      <c r="M705" t="s">
        <v>241</v>
      </c>
      <c r="N705">
        <v>2</v>
      </c>
      <c r="O705">
        <v>153603.5</v>
      </c>
    </row>
    <row r="706" spans="1:15" x14ac:dyDescent="0.35">
      <c r="A706" t="s">
        <v>15</v>
      </c>
      <c r="B706" t="s">
        <v>16</v>
      </c>
      <c r="C706" t="s">
        <v>17</v>
      </c>
      <c r="D706" t="s">
        <v>1918</v>
      </c>
      <c r="E706" t="s">
        <v>2267</v>
      </c>
      <c r="F706" t="s">
        <v>196</v>
      </c>
      <c r="G706" t="s">
        <v>921</v>
      </c>
      <c r="H706" t="s">
        <v>41</v>
      </c>
      <c r="I706" t="s">
        <v>23</v>
      </c>
      <c r="J706" s="1">
        <v>27040</v>
      </c>
      <c r="K706" t="s">
        <v>23</v>
      </c>
      <c r="L706" t="s">
        <v>2268</v>
      </c>
      <c r="M706" t="s">
        <v>2149</v>
      </c>
      <c r="N706">
        <v>7</v>
      </c>
      <c r="O706">
        <v>147959.5</v>
      </c>
    </row>
    <row r="707" spans="1:15" x14ac:dyDescent="0.35">
      <c r="A707" t="s">
        <v>75</v>
      </c>
      <c r="B707" t="s">
        <v>69</v>
      </c>
      <c r="C707" t="s">
        <v>61</v>
      </c>
      <c r="D707" t="s">
        <v>1802</v>
      </c>
      <c r="E707" t="s">
        <v>128</v>
      </c>
      <c r="F707" t="s">
        <v>20</v>
      </c>
      <c r="G707" t="s">
        <v>1803</v>
      </c>
      <c r="H707" t="s">
        <v>41</v>
      </c>
      <c r="I707" t="s">
        <v>23</v>
      </c>
      <c r="J707" s="1">
        <v>492225</v>
      </c>
      <c r="K707" t="s">
        <v>1804</v>
      </c>
      <c r="L707" t="s">
        <v>1964</v>
      </c>
      <c r="M707" t="s">
        <v>81</v>
      </c>
      <c r="N707">
        <v>17</v>
      </c>
      <c r="O707">
        <v>18354.5</v>
      </c>
    </row>
    <row r="708" spans="1:15" x14ac:dyDescent="0.35">
      <c r="A708" t="s">
        <v>15</v>
      </c>
      <c r="B708" t="s">
        <v>27</v>
      </c>
      <c r="C708" t="s">
        <v>61</v>
      </c>
      <c r="D708" t="s">
        <v>1914</v>
      </c>
      <c r="E708" t="s">
        <v>128</v>
      </c>
      <c r="F708" t="s">
        <v>196</v>
      </c>
      <c r="G708" t="s">
        <v>946</v>
      </c>
      <c r="H708" t="s">
        <v>22</v>
      </c>
      <c r="I708" t="s">
        <v>23</v>
      </c>
      <c r="J708" s="1">
        <v>409030</v>
      </c>
      <c r="K708" t="s">
        <v>2269</v>
      </c>
      <c r="L708" t="s">
        <v>1916</v>
      </c>
      <c r="M708" t="s">
        <v>2155</v>
      </c>
      <c r="N708">
        <v>7</v>
      </c>
      <c r="O708">
        <v>45081.5</v>
      </c>
    </row>
    <row r="709" spans="1:15" x14ac:dyDescent="0.35">
      <c r="A709" t="s">
        <v>15</v>
      </c>
      <c r="B709" t="s">
        <v>16</v>
      </c>
      <c r="C709" t="s">
        <v>36</v>
      </c>
      <c r="D709" t="s">
        <v>694</v>
      </c>
      <c r="E709" t="s">
        <v>2270</v>
      </c>
      <c r="F709" t="s">
        <v>196</v>
      </c>
      <c r="G709" t="s">
        <v>580</v>
      </c>
      <c r="H709" t="s">
        <v>41</v>
      </c>
      <c r="I709" t="s">
        <v>23</v>
      </c>
      <c r="J709" s="1">
        <v>26050</v>
      </c>
      <c r="K709" t="s">
        <v>2271</v>
      </c>
      <c r="L709" t="s">
        <v>1366</v>
      </c>
      <c r="M709" t="s">
        <v>81</v>
      </c>
      <c r="N709">
        <v>7</v>
      </c>
      <c r="O709">
        <v>114170</v>
      </c>
    </row>
    <row r="710" spans="1:15" x14ac:dyDescent="0.35">
      <c r="A710" t="s">
        <v>15</v>
      </c>
      <c r="B710" t="s">
        <v>16</v>
      </c>
      <c r="C710" t="s">
        <v>36</v>
      </c>
      <c r="D710" t="s">
        <v>831</v>
      </c>
      <c r="E710" t="s">
        <v>324</v>
      </c>
      <c r="F710" t="s">
        <v>39</v>
      </c>
      <c r="G710" t="s">
        <v>90</v>
      </c>
      <c r="H710" t="s">
        <v>41</v>
      </c>
      <c r="I710" t="s">
        <v>23</v>
      </c>
      <c r="J710" s="1">
        <v>65860</v>
      </c>
      <c r="K710" t="s">
        <v>2272</v>
      </c>
      <c r="L710" t="s">
        <v>2273</v>
      </c>
      <c r="M710" t="s">
        <v>2166</v>
      </c>
      <c r="O710">
        <v>217786.5</v>
      </c>
    </row>
    <row r="711" spans="1:15" x14ac:dyDescent="0.35">
      <c r="A711" t="s">
        <v>15</v>
      </c>
      <c r="B711" t="s">
        <v>16</v>
      </c>
      <c r="C711" t="s">
        <v>36</v>
      </c>
      <c r="D711" t="s">
        <v>1141</v>
      </c>
      <c r="E711" t="s">
        <v>1142</v>
      </c>
      <c r="F711" t="s">
        <v>312</v>
      </c>
      <c r="G711" t="s">
        <v>86</v>
      </c>
      <c r="H711" t="s">
        <v>57</v>
      </c>
      <c r="I711" t="s">
        <v>23</v>
      </c>
      <c r="J711" s="1">
        <v>3070</v>
      </c>
      <c r="K711" t="s">
        <v>23</v>
      </c>
      <c r="L711" t="s">
        <v>2274</v>
      </c>
      <c r="M711" t="s">
        <v>1404</v>
      </c>
      <c r="N711">
        <v>4</v>
      </c>
      <c r="O711">
        <v>141567</v>
      </c>
    </row>
    <row r="712" spans="1:15" x14ac:dyDescent="0.35">
      <c r="A712" t="s">
        <v>15</v>
      </c>
      <c r="B712" t="s">
        <v>16</v>
      </c>
      <c r="C712" t="s">
        <v>61</v>
      </c>
      <c r="D712" t="s">
        <v>2275</v>
      </c>
      <c r="E712" t="s">
        <v>128</v>
      </c>
      <c r="F712" t="s">
        <v>394</v>
      </c>
      <c r="G712" t="s">
        <v>2276</v>
      </c>
      <c r="H712" t="s">
        <v>41</v>
      </c>
      <c r="I712" t="s">
        <v>58</v>
      </c>
      <c r="J712">
        <v>590</v>
      </c>
      <c r="K712" t="s">
        <v>58</v>
      </c>
      <c r="L712" t="s">
        <v>2277</v>
      </c>
      <c r="M712" t="s">
        <v>2278</v>
      </c>
      <c r="N712">
        <v>11</v>
      </c>
      <c r="O712">
        <v>23243</v>
      </c>
    </row>
    <row r="713" spans="1:15" x14ac:dyDescent="0.35">
      <c r="A713" t="s">
        <v>15</v>
      </c>
      <c r="B713" t="s">
        <v>16</v>
      </c>
      <c r="C713" t="s">
        <v>36</v>
      </c>
      <c r="D713" t="s">
        <v>415</v>
      </c>
      <c r="E713" t="s">
        <v>2279</v>
      </c>
      <c r="F713" t="s">
        <v>39</v>
      </c>
      <c r="G713" t="s">
        <v>417</v>
      </c>
      <c r="H713" t="s">
        <v>41</v>
      </c>
      <c r="I713" t="s">
        <v>58</v>
      </c>
      <c r="J713" s="1">
        <v>21640</v>
      </c>
      <c r="K713" t="s">
        <v>58</v>
      </c>
      <c r="L713" t="s">
        <v>2280</v>
      </c>
      <c r="M713" t="s">
        <v>2281</v>
      </c>
      <c r="O713">
        <v>173539</v>
      </c>
    </row>
    <row r="714" spans="1:15" x14ac:dyDescent="0.35">
      <c r="A714" t="s">
        <v>15</v>
      </c>
      <c r="B714" t="s">
        <v>99</v>
      </c>
      <c r="C714" t="s">
        <v>61</v>
      </c>
      <c r="D714" t="s">
        <v>1672</v>
      </c>
      <c r="E714" t="s">
        <v>1673</v>
      </c>
      <c r="F714" t="s">
        <v>85</v>
      </c>
      <c r="G714" t="s">
        <v>498</v>
      </c>
      <c r="H714" t="s">
        <v>156</v>
      </c>
      <c r="I714" t="s">
        <v>23</v>
      </c>
      <c r="J714" s="1">
        <v>6190</v>
      </c>
      <c r="K714" t="s">
        <v>23</v>
      </c>
      <c r="L714" t="s">
        <v>2282</v>
      </c>
      <c r="M714" t="s">
        <v>475</v>
      </c>
      <c r="N714">
        <v>6</v>
      </c>
      <c r="O714">
        <v>125134.5</v>
      </c>
    </row>
    <row r="715" spans="1:15" x14ac:dyDescent="0.35">
      <c r="A715" t="s">
        <v>75</v>
      </c>
      <c r="B715" t="s">
        <v>99</v>
      </c>
      <c r="C715" t="s">
        <v>61</v>
      </c>
      <c r="D715" t="s">
        <v>1802</v>
      </c>
      <c r="E715" t="s">
        <v>128</v>
      </c>
      <c r="F715" t="s">
        <v>125</v>
      </c>
      <c r="G715" t="s">
        <v>1803</v>
      </c>
      <c r="H715" t="s">
        <v>41</v>
      </c>
      <c r="I715" t="s">
        <v>23</v>
      </c>
      <c r="J715" s="1">
        <v>492255</v>
      </c>
      <c r="K715" t="s">
        <v>2283</v>
      </c>
      <c r="L715" t="s">
        <v>1964</v>
      </c>
      <c r="M715" t="s">
        <v>2284</v>
      </c>
      <c r="N715">
        <v>14</v>
      </c>
      <c r="O715">
        <v>18354.5</v>
      </c>
    </row>
    <row r="716" spans="1:15" x14ac:dyDescent="0.35">
      <c r="A716" t="s">
        <v>15</v>
      </c>
      <c r="B716" t="s">
        <v>16</v>
      </c>
      <c r="C716" t="s">
        <v>36</v>
      </c>
      <c r="D716" t="s">
        <v>938</v>
      </c>
      <c r="E716" t="s">
        <v>54</v>
      </c>
      <c r="F716" t="s">
        <v>939</v>
      </c>
      <c r="G716" t="s">
        <v>90</v>
      </c>
      <c r="H716" t="s">
        <v>41</v>
      </c>
      <c r="I716" t="s">
        <v>58</v>
      </c>
      <c r="J716">
        <v>320</v>
      </c>
      <c r="K716" t="s">
        <v>58</v>
      </c>
      <c r="L716" t="s">
        <v>2285</v>
      </c>
      <c r="M716" t="s">
        <v>60</v>
      </c>
      <c r="N716">
        <v>4</v>
      </c>
      <c r="O716">
        <v>28127</v>
      </c>
    </row>
    <row r="717" spans="1:15" x14ac:dyDescent="0.35">
      <c r="A717" t="s">
        <v>15</v>
      </c>
      <c r="B717" t="s">
        <v>16</v>
      </c>
      <c r="C717" t="s">
        <v>36</v>
      </c>
      <c r="D717" t="s">
        <v>762</v>
      </c>
      <c r="E717" t="s">
        <v>763</v>
      </c>
      <c r="F717" t="s">
        <v>125</v>
      </c>
      <c r="G717" t="s">
        <v>764</v>
      </c>
      <c r="H717" t="s">
        <v>115</v>
      </c>
      <c r="I717" t="s">
        <v>23</v>
      </c>
      <c r="J717" s="1">
        <v>37950</v>
      </c>
      <c r="K717" t="s">
        <v>23</v>
      </c>
      <c r="L717" t="s">
        <v>2286</v>
      </c>
      <c r="M717" t="s">
        <v>2012</v>
      </c>
      <c r="N717">
        <v>14</v>
      </c>
      <c r="O717">
        <v>80790.5</v>
      </c>
    </row>
    <row r="718" spans="1:15" x14ac:dyDescent="0.35">
      <c r="A718" t="s">
        <v>15</v>
      </c>
      <c r="B718" t="s">
        <v>16</v>
      </c>
      <c r="C718" t="s">
        <v>36</v>
      </c>
      <c r="D718" t="s">
        <v>664</v>
      </c>
      <c r="E718" t="s">
        <v>1091</v>
      </c>
      <c r="F718" t="s">
        <v>1149</v>
      </c>
      <c r="G718" t="s">
        <v>79</v>
      </c>
      <c r="H718" t="s">
        <v>41</v>
      </c>
      <c r="I718" t="s">
        <v>23</v>
      </c>
      <c r="J718" s="1">
        <v>94570</v>
      </c>
      <c r="K718" t="s">
        <v>2287</v>
      </c>
      <c r="L718" t="s">
        <v>2288</v>
      </c>
      <c r="M718" t="s">
        <v>118</v>
      </c>
      <c r="N718">
        <v>18</v>
      </c>
      <c r="O718">
        <v>159384</v>
      </c>
    </row>
    <row r="719" spans="1:15" x14ac:dyDescent="0.35">
      <c r="A719" t="s">
        <v>15</v>
      </c>
      <c r="B719" t="s">
        <v>16</v>
      </c>
      <c r="C719" t="s">
        <v>36</v>
      </c>
      <c r="D719" t="s">
        <v>664</v>
      </c>
      <c r="E719" t="s">
        <v>2289</v>
      </c>
      <c r="F719" t="s">
        <v>1149</v>
      </c>
      <c r="G719" t="s">
        <v>79</v>
      </c>
      <c r="H719" t="s">
        <v>41</v>
      </c>
      <c r="I719" t="s">
        <v>23</v>
      </c>
      <c r="J719" s="1">
        <v>94530</v>
      </c>
      <c r="K719" t="s">
        <v>2290</v>
      </c>
      <c r="L719" t="s">
        <v>2291</v>
      </c>
      <c r="M719" t="s">
        <v>118</v>
      </c>
      <c r="N719">
        <v>18</v>
      </c>
      <c r="O719">
        <v>159377</v>
      </c>
    </row>
    <row r="720" spans="1:15" x14ac:dyDescent="0.35">
      <c r="A720" t="s">
        <v>2258</v>
      </c>
      <c r="B720" t="s">
        <v>16</v>
      </c>
      <c r="C720" t="s">
        <v>36</v>
      </c>
      <c r="D720" t="s">
        <v>371</v>
      </c>
      <c r="E720" t="s">
        <v>268</v>
      </c>
      <c r="F720" t="s">
        <v>431</v>
      </c>
      <c r="G720" t="s">
        <v>204</v>
      </c>
      <c r="H720" t="s">
        <v>22</v>
      </c>
      <c r="I720" t="s">
        <v>23</v>
      </c>
      <c r="J720" s="1">
        <v>865456</v>
      </c>
      <c r="K720" t="s">
        <v>1510</v>
      </c>
      <c r="L720" t="s">
        <v>2292</v>
      </c>
      <c r="M720" t="s">
        <v>1526</v>
      </c>
      <c r="N720">
        <v>21</v>
      </c>
      <c r="O720">
        <v>164402.5</v>
      </c>
    </row>
    <row r="721" spans="1:15" x14ac:dyDescent="0.35">
      <c r="A721" t="s">
        <v>15</v>
      </c>
      <c r="B721" t="s">
        <v>16</v>
      </c>
      <c r="C721" t="s">
        <v>61</v>
      </c>
      <c r="D721" t="s">
        <v>525</v>
      </c>
      <c r="E721" t="s">
        <v>2293</v>
      </c>
      <c r="F721" t="s">
        <v>39</v>
      </c>
      <c r="G721" t="s">
        <v>527</v>
      </c>
      <c r="H721" t="s">
        <v>41</v>
      </c>
      <c r="I721" t="s">
        <v>23</v>
      </c>
      <c r="J721" s="1">
        <v>40060</v>
      </c>
      <c r="K721" t="s">
        <v>2294</v>
      </c>
      <c r="L721" t="s">
        <v>2295</v>
      </c>
      <c r="M721" t="s">
        <v>2296</v>
      </c>
      <c r="O721">
        <v>46261</v>
      </c>
    </row>
    <row r="722" spans="1:15" x14ac:dyDescent="0.35">
      <c r="A722" t="s">
        <v>15</v>
      </c>
      <c r="B722" t="s">
        <v>16</v>
      </c>
      <c r="C722" t="s">
        <v>61</v>
      </c>
      <c r="D722" t="s">
        <v>371</v>
      </c>
      <c r="E722" t="s">
        <v>2297</v>
      </c>
      <c r="F722" t="s">
        <v>39</v>
      </c>
      <c r="G722" t="s">
        <v>204</v>
      </c>
      <c r="H722" t="s">
        <v>22</v>
      </c>
      <c r="I722" t="s">
        <v>23</v>
      </c>
      <c r="J722" s="1">
        <v>865446</v>
      </c>
      <c r="K722" t="s">
        <v>2177</v>
      </c>
      <c r="L722" t="s">
        <v>2298</v>
      </c>
      <c r="M722" t="s">
        <v>2299</v>
      </c>
      <c r="O722">
        <v>88962.5</v>
      </c>
    </row>
    <row r="723" spans="1:15" x14ac:dyDescent="0.35">
      <c r="A723" t="s">
        <v>15</v>
      </c>
      <c r="B723" t="s">
        <v>16</v>
      </c>
      <c r="C723" t="s">
        <v>36</v>
      </c>
      <c r="D723" t="s">
        <v>371</v>
      </c>
      <c r="E723" t="s">
        <v>63</v>
      </c>
      <c r="F723" t="s">
        <v>39</v>
      </c>
      <c r="G723" t="s">
        <v>204</v>
      </c>
      <c r="H723" t="s">
        <v>22</v>
      </c>
      <c r="I723" t="s">
        <v>23</v>
      </c>
      <c r="J723" s="1">
        <v>865416</v>
      </c>
      <c r="K723" t="s">
        <v>2300</v>
      </c>
      <c r="L723" t="s">
        <v>1028</v>
      </c>
      <c r="M723" t="s">
        <v>2301</v>
      </c>
      <c r="O723">
        <v>155267.5</v>
      </c>
    </row>
    <row r="724" spans="1:15" x14ac:dyDescent="0.35">
      <c r="A724" t="s">
        <v>75</v>
      </c>
      <c r="B724" t="s">
        <v>16</v>
      </c>
      <c r="C724" t="s">
        <v>61</v>
      </c>
      <c r="D724" t="s">
        <v>703</v>
      </c>
      <c r="E724" t="s">
        <v>1663</v>
      </c>
      <c r="F724" t="s">
        <v>431</v>
      </c>
      <c r="G724" t="s">
        <v>169</v>
      </c>
      <c r="H724" t="s">
        <v>41</v>
      </c>
      <c r="I724" t="s">
        <v>23</v>
      </c>
      <c r="J724" s="1">
        <v>261050</v>
      </c>
      <c r="K724" t="s">
        <v>1664</v>
      </c>
      <c r="L724" t="s">
        <v>2302</v>
      </c>
      <c r="M724" t="s">
        <v>2303</v>
      </c>
      <c r="N724">
        <v>21</v>
      </c>
      <c r="O724">
        <v>9584</v>
      </c>
    </row>
    <row r="725" spans="1:15" x14ac:dyDescent="0.35">
      <c r="A725" t="s">
        <v>75</v>
      </c>
      <c r="B725" t="s">
        <v>16</v>
      </c>
      <c r="C725" t="s">
        <v>36</v>
      </c>
      <c r="D725" t="s">
        <v>1646</v>
      </c>
      <c r="E725" t="s">
        <v>128</v>
      </c>
      <c r="F725" t="s">
        <v>441</v>
      </c>
      <c r="G725" t="s">
        <v>1648</v>
      </c>
      <c r="H725" t="s">
        <v>41</v>
      </c>
      <c r="I725" t="s">
        <v>23</v>
      </c>
      <c r="J725" s="1">
        <v>117790</v>
      </c>
      <c r="K725" t="s">
        <v>2304</v>
      </c>
      <c r="L725" t="s">
        <v>2305</v>
      </c>
      <c r="M725" t="s">
        <v>2306</v>
      </c>
      <c r="N725">
        <v>10</v>
      </c>
      <c r="O725">
        <v>19599</v>
      </c>
    </row>
    <row r="726" spans="1:15" x14ac:dyDescent="0.35">
      <c r="A726" t="s">
        <v>15</v>
      </c>
      <c r="B726" t="s">
        <v>16</v>
      </c>
      <c r="C726" t="s">
        <v>17</v>
      </c>
      <c r="D726" t="s">
        <v>1807</v>
      </c>
      <c r="E726" t="s">
        <v>1808</v>
      </c>
      <c r="F726" t="s">
        <v>125</v>
      </c>
      <c r="G726" t="s">
        <v>1809</v>
      </c>
      <c r="H726" t="s">
        <v>41</v>
      </c>
      <c r="I726" t="s">
        <v>23</v>
      </c>
      <c r="J726" s="1">
        <v>57270</v>
      </c>
      <c r="K726" t="s">
        <v>2307</v>
      </c>
      <c r="L726" t="s">
        <v>1811</v>
      </c>
      <c r="M726" t="s">
        <v>1812</v>
      </c>
      <c r="N726">
        <v>14</v>
      </c>
      <c r="O726">
        <v>105769</v>
      </c>
    </row>
    <row r="727" spans="1:15" x14ac:dyDescent="0.35">
      <c r="A727" t="s">
        <v>15</v>
      </c>
      <c r="B727" t="s">
        <v>16</v>
      </c>
      <c r="C727" t="s">
        <v>61</v>
      </c>
      <c r="D727" t="s">
        <v>1914</v>
      </c>
      <c r="E727" t="s">
        <v>128</v>
      </c>
      <c r="F727" t="s">
        <v>431</v>
      </c>
      <c r="G727" t="s">
        <v>946</v>
      </c>
      <c r="H727" t="s">
        <v>22</v>
      </c>
      <c r="I727" t="s">
        <v>23</v>
      </c>
      <c r="J727" s="1">
        <v>409070</v>
      </c>
      <c r="K727" t="s">
        <v>1915</v>
      </c>
      <c r="L727" t="s">
        <v>2308</v>
      </c>
      <c r="M727" t="s">
        <v>2309</v>
      </c>
      <c r="N727">
        <v>21</v>
      </c>
      <c r="O727">
        <v>45082.5</v>
      </c>
    </row>
    <row r="728" spans="1:15" x14ac:dyDescent="0.35">
      <c r="A728" t="s">
        <v>15</v>
      </c>
      <c r="B728" t="s">
        <v>27</v>
      </c>
      <c r="C728" t="s">
        <v>36</v>
      </c>
      <c r="D728" t="s">
        <v>920</v>
      </c>
      <c r="E728" t="s">
        <v>618</v>
      </c>
      <c r="F728" t="s">
        <v>431</v>
      </c>
      <c r="G728" t="s">
        <v>921</v>
      </c>
      <c r="H728" t="s">
        <v>22</v>
      </c>
      <c r="I728" t="s">
        <v>23</v>
      </c>
      <c r="J728" s="1">
        <v>55150</v>
      </c>
      <c r="K728" t="s">
        <v>2310</v>
      </c>
      <c r="L728" t="s">
        <v>2311</v>
      </c>
      <c r="M728" t="s">
        <v>2043</v>
      </c>
      <c r="N728">
        <v>21</v>
      </c>
      <c r="O728">
        <v>281445</v>
      </c>
    </row>
    <row r="729" spans="1:15" x14ac:dyDescent="0.35">
      <c r="A729" t="s">
        <v>15</v>
      </c>
      <c r="B729" t="s">
        <v>69</v>
      </c>
      <c r="C729" t="s">
        <v>17</v>
      </c>
      <c r="D729" t="s">
        <v>45</v>
      </c>
      <c r="E729" t="s">
        <v>2312</v>
      </c>
      <c r="F729" t="s">
        <v>39</v>
      </c>
      <c r="G729" t="s">
        <v>48</v>
      </c>
      <c r="H729" t="s">
        <v>41</v>
      </c>
      <c r="I729" t="s">
        <v>23</v>
      </c>
      <c r="J729" s="1">
        <v>34690</v>
      </c>
      <c r="K729" t="s">
        <v>49</v>
      </c>
      <c r="L729" t="s">
        <v>2313</v>
      </c>
      <c r="M729" t="s">
        <v>2314</v>
      </c>
      <c r="O729">
        <v>153606.5</v>
      </c>
    </row>
    <row r="730" spans="1:15" x14ac:dyDescent="0.35">
      <c r="A730" t="s">
        <v>15</v>
      </c>
      <c r="B730" t="s">
        <v>99</v>
      </c>
      <c r="C730" t="s">
        <v>17</v>
      </c>
      <c r="D730" t="s">
        <v>1918</v>
      </c>
      <c r="E730" t="s">
        <v>1808</v>
      </c>
      <c r="F730" t="s">
        <v>125</v>
      </c>
      <c r="G730" t="s">
        <v>921</v>
      </c>
      <c r="H730" t="s">
        <v>41</v>
      </c>
      <c r="I730" t="s">
        <v>23</v>
      </c>
      <c r="J730" s="1">
        <v>27040</v>
      </c>
      <c r="K730" t="s">
        <v>23</v>
      </c>
      <c r="L730" t="s">
        <v>2129</v>
      </c>
      <c r="M730" t="s">
        <v>110</v>
      </c>
      <c r="N730">
        <v>14</v>
      </c>
      <c r="O730">
        <v>115815.5</v>
      </c>
    </row>
    <row r="731" spans="1:15" x14ac:dyDescent="0.35">
      <c r="A731" t="s">
        <v>15</v>
      </c>
      <c r="B731" t="s">
        <v>16</v>
      </c>
      <c r="C731" t="s">
        <v>36</v>
      </c>
      <c r="D731" t="s">
        <v>2315</v>
      </c>
      <c r="E731" t="s">
        <v>161</v>
      </c>
      <c r="F731" t="s">
        <v>125</v>
      </c>
      <c r="G731" t="s">
        <v>229</v>
      </c>
      <c r="H731" t="s">
        <v>32</v>
      </c>
      <c r="I731" t="s">
        <v>23</v>
      </c>
      <c r="J731" s="1">
        <v>18900</v>
      </c>
      <c r="K731" t="s">
        <v>23</v>
      </c>
      <c r="L731" t="s">
        <v>2316</v>
      </c>
      <c r="M731" t="s">
        <v>2317</v>
      </c>
      <c r="N731">
        <v>14</v>
      </c>
      <c r="O731">
        <v>103072.5</v>
      </c>
    </row>
    <row r="732" spans="1:15" x14ac:dyDescent="0.35">
      <c r="A732" t="s">
        <v>15</v>
      </c>
      <c r="B732" t="s">
        <v>27</v>
      </c>
      <c r="C732" t="s">
        <v>36</v>
      </c>
      <c r="D732" t="s">
        <v>601</v>
      </c>
      <c r="E732" t="s">
        <v>2318</v>
      </c>
      <c r="F732" t="s">
        <v>39</v>
      </c>
      <c r="G732" t="s">
        <v>65</v>
      </c>
      <c r="H732" t="s">
        <v>57</v>
      </c>
      <c r="I732" t="s">
        <v>23</v>
      </c>
      <c r="J732" s="1">
        <v>290750</v>
      </c>
      <c r="K732" t="s">
        <v>603</v>
      </c>
      <c r="L732" t="s">
        <v>2319</v>
      </c>
      <c r="M732" t="s">
        <v>241</v>
      </c>
      <c r="O732">
        <v>155271</v>
      </c>
    </row>
    <row r="733" spans="1:15" x14ac:dyDescent="0.35">
      <c r="A733" t="s">
        <v>15</v>
      </c>
      <c r="B733" t="s">
        <v>16</v>
      </c>
      <c r="C733" t="s">
        <v>36</v>
      </c>
      <c r="D733" t="s">
        <v>1458</v>
      </c>
      <c r="E733" t="s">
        <v>54</v>
      </c>
      <c r="F733" t="s">
        <v>2320</v>
      </c>
      <c r="G733" t="s">
        <v>1459</v>
      </c>
      <c r="H733" t="s">
        <v>41</v>
      </c>
      <c r="I733" t="s">
        <v>23</v>
      </c>
      <c r="J733" s="1">
        <v>2270</v>
      </c>
      <c r="K733" t="s">
        <v>23</v>
      </c>
      <c r="L733" t="s">
        <v>2321</v>
      </c>
      <c r="M733" t="s">
        <v>60</v>
      </c>
      <c r="N733">
        <v>20</v>
      </c>
      <c r="O733">
        <v>133532</v>
      </c>
    </row>
    <row r="734" spans="1:15" x14ac:dyDescent="0.35">
      <c r="A734" t="s">
        <v>15</v>
      </c>
      <c r="B734" t="s">
        <v>27</v>
      </c>
      <c r="C734" t="s">
        <v>61</v>
      </c>
      <c r="D734" t="s">
        <v>655</v>
      </c>
      <c r="E734" t="s">
        <v>2322</v>
      </c>
      <c r="F734" t="s">
        <v>125</v>
      </c>
      <c r="G734" t="s">
        <v>656</v>
      </c>
      <c r="H734" t="s">
        <v>115</v>
      </c>
      <c r="I734" t="s">
        <v>23</v>
      </c>
      <c r="J734" s="1">
        <v>300020</v>
      </c>
      <c r="K734" t="s">
        <v>2323</v>
      </c>
      <c r="L734" t="s">
        <v>2189</v>
      </c>
      <c r="M734" t="s">
        <v>51</v>
      </c>
      <c r="N734">
        <v>14</v>
      </c>
      <c r="O734">
        <v>197555</v>
      </c>
    </row>
    <row r="735" spans="1:15" x14ac:dyDescent="0.35">
      <c r="A735" t="s">
        <v>15</v>
      </c>
      <c r="B735" t="s">
        <v>99</v>
      </c>
      <c r="C735" t="s">
        <v>36</v>
      </c>
      <c r="D735" t="s">
        <v>762</v>
      </c>
      <c r="E735" t="s">
        <v>2230</v>
      </c>
      <c r="F735" t="s">
        <v>85</v>
      </c>
      <c r="G735" t="s">
        <v>764</v>
      </c>
      <c r="H735" t="s">
        <v>115</v>
      </c>
      <c r="I735" t="s">
        <v>23</v>
      </c>
      <c r="J735" s="1">
        <v>37940</v>
      </c>
      <c r="K735" t="s">
        <v>23</v>
      </c>
      <c r="L735" t="s">
        <v>2324</v>
      </c>
      <c r="M735" t="s">
        <v>897</v>
      </c>
      <c r="N735">
        <v>6</v>
      </c>
      <c r="O735">
        <v>18195</v>
      </c>
    </row>
    <row r="736" spans="1:15" x14ac:dyDescent="0.35">
      <c r="A736" t="s">
        <v>15</v>
      </c>
      <c r="B736" t="s">
        <v>16</v>
      </c>
      <c r="C736" t="s">
        <v>61</v>
      </c>
      <c r="D736" t="s">
        <v>609</v>
      </c>
      <c r="E736" t="s">
        <v>2325</v>
      </c>
      <c r="F736" t="s">
        <v>39</v>
      </c>
      <c r="G736" t="s">
        <v>610</v>
      </c>
      <c r="H736" t="s">
        <v>115</v>
      </c>
      <c r="I736" t="s">
        <v>58</v>
      </c>
      <c r="J736" s="1">
        <v>76060</v>
      </c>
      <c r="K736" t="s">
        <v>58</v>
      </c>
      <c r="L736" t="s">
        <v>2326</v>
      </c>
      <c r="M736" t="s">
        <v>2327</v>
      </c>
      <c r="O736">
        <v>78274</v>
      </c>
    </row>
    <row r="737" spans="1:15" x14ac:dyDescent="0.35">
      <c r="A737" t="s">
        <v>75</v>
      </c>
      <c r="B737" t="s">
        <v>16</v>
      </c>
      <c r="C737" t="s">
        <v>61</v>
      </c>
      <c r="D737" t="s">
        <v>1802</v>
      </c>
      <c r="E737" t="s">
        <v>128</v>
      </c>
      <c r="F737" t="s">
        <v>125</v>
      </c>
      <c r="G737" t="s">
        <v>1803</v>
      </c>
      <c r="H737" t="s">
        <v>41</v>
      </c>
      <c r="I737" t="s">
        <v>23</v>
      </c>
      <c r="J737" s="1">
        <v>492225</v>
      </c>
      <c r="K737" t="s">
        <v>1804</v>
      </c>
      <c r="L737" t="s">
        <v>2219</v>
      </c>
      <c r="M737" t="s">
        <v>2284</v>
      </c>
      <c r="N737">
        <v>14</v>
      </c>
      <c r="O737">
        <v>18355.5</v>
      </c>
    </row>
    <row r="738" spans="1:15" x14ac:dyDescent="0.35">
      <c r="A738" t="s">
        <v>15</v>
      </c>
      <c r="B738" t="s">
        <v>16</v>
      </c>
      <c r="C738" t="s">
        <v>36</v>
      </c>
      <c r="D738" t="s">
        <v>750</v>
      </c>
      <c r="E738" t="s">
        <v>1743</v>
      </c>
      <c r="F738" t="s">
        <v>341</v>
      </c>
      <c r="G738" t="s">
        <v>752</v>
      </c>
      <c r="H738" t="s">
        <v>41</v>
      </c>
      <c r="I738" t="s">
        <v>23</v>
      </c>
      <c r="J738" s="1">
        <v>20010</v>
      </c>
      <c r="K738" t="s">
        <v>23</v>
      </c>
      <c r="L738" t="s">
        <v>2328</v>
      </c>
      <c r="M738" t="s">
        <v>206</v>
      </c>
      <c r="N738">
        <v>2</v>
      </c>
      <c r="O738">
        <v>96174</v>
      </c>
    </row>
    <row r="739" spans="1:15" x14ac:dyDescent="0.35">
      <c r="A739" t="s">
        <v>15</v>
      </c>
      <c r="B739" t="s">
        <v>16</v>
      </c>
      <c r="C739" t="s">
        <v>61</v>
      </c>
      <c r="D739" t="s">
        <v>1399</v>
      </c>
      <c r="E739" t="s">
        <v>2329</v>
      </c>
      <c r="F739" t="s">
        <v>85</v>
      </c>
      <c r="G739" t="s">
        <v>65</v>
      </c>
      <c r="H739" t="s">
        <v>41</v>
      </c>
      <c r="I739" t="s">
        <v>23</v>
      </c>
      <c r="J739" s="1">
        <v>26640</v>
      </c>
      <c r="K739" t="s">
        <v>23</v>
      </c>
      <c r="L739" t="s">
        <v>2330</v>
      </c>
      <c r="M739" t="s">
        <v>2331</v>
      </c>
      <c r="N739">
        <v>6</v>
      </c>
      <c r="O739">
        <v>18678</v>
      </c>
    </row>
    <row r="740" spans="1:15" x14ac:dyDescent="0.35">
      <c r="A740" t="s">
        <v>15</v>
      </c>
      <c r="B740" t="s">
        <v>27</v>
      </c>
      <c r="C740" t="s">
        <v>61</v>
      </c>
      <c r="D740" t="s">
        <v>2275</v>
      </c>
      <c r="E740" t="s">
        <v>128</v>
      </c>
      <c r="F740" t="s">
        <v>196</v>
      </c>
      <c r="G740" t="s">
        <v>2276</v>
      </c>
      <c r="H740" t="s">
        <v>41</v>
      </c>
      <c r="I740" t="s">
        <v>58</v>
      </c>
      <c r="J740">
        <v>590</v>
      </c>
      <c r="K740" t="s">
        <v>58</v>
      </c>
      <c r="L740" t="s">
        <v>2332</v>
      </c>
      <c r="M740" t="s">
        <v>2333</v>
      </c>
      <c r="N740">
        <v>7</v>
      </c>
      <c r="O740">
        <v>23240</v>
      </c>
    </row>
    <row r="741" spans="1:15" x14ac:dyDescent="0.35">
      <c r="A741" t="s">
        <v>15</v>
      </c>
      <c r="B741" t="s">
        <v>69</v>
      </c>
      <c r="C741" t="s">
        <v>17</v>
      </c>
      <c r="D741" t="s">
        <v>1068</v>
      </c>
      <c r="E741" t="s">
        <v>2334</v>
      </c>
      <c r="F741" t="s">
        <v>125</v>
      </c>
      <c r="G741" t="s">
        <v>594</v>
      </c>
      <c r="H741" t="s">
        <v>57</v>
      </c>
      <c r="I741" t="s">
        <v>23</v>
      </c>
      <c r="J741" s="1">
        <v>29530</v>
      </c>
      <c r="K741" t="s">
        <v>23</v>
      </c>
      <c r="L741" t="s">
        <v>2335</v>
      </c>
      <c r="M741" t="s">
        <v>189</v>
      </c>
      <c r="N741">
        <v>14</v>
      </c>
      <c r="O741">
        <v>73455</v>
      </c>
    </row>
    <row r="742" spans="1:15" x14ac:dyDescent="0.35">
      <c r="A742" t="s">
        <v>75</v>
      </c>
      <c r="B742" t="s">
        <v>16</v>
      </c>
      <c r="C742" t="s">
        <v>17</v>
      </c>
      <c r="D742" t="s">
        <v>579</v>
      </c>
      <c r="E742" t="s">
        <v>1656</v>
      </c>
      <c r="F742" t="s">
        <v>39</v>
      </c>
      <c r="G742" t="s">
        <v>580</v>
      </c>
      <c r="H742" t="s">
        <v>41</v>
      </c>
      <c r="I742" t="s">
        <v>23</v>
      </c>
      <c r="J742" s="1">
        <v>27390</v>
      </c>
      <c r="K742" t="s">
        <v>23</v>
      </c>
      <c r="L742" t="s">
        <v>2336</v>
      </c>
      <c r="M742" t="s">
        <v>435</v>
      </c>
      <c r="O742">
        <v>161690</v>
      </c>
    </row>
    <row r="743" spans="1:15" x14ac:dyDescent="0.35">
      <c r="A743" t="s">
        <v>15</v>
      </c>
      <c r="B743" t="s">
        <v>16</v>
      </c>
      <c r="C743" t="s">
        <v>61</v>
      </c>
      <c r="D743" t="s">
        <v>550</v>
      </c>
      <c r="E743" t="s">
        <v>1814</v>
      </c>
      <c r="F743" t="s">
        <v>39</v>
      </c>
      <c r="G743" t="s">
        <v>65</v>
      </c>
      <c r="H743" t="s">
        <v>41</v>
      </c>
      <c r="I743" t="s">
        <v>23</v>
      </c>
      <c r="J743" s="1">
        <v>10030</v>
      </c>
      <c r="K743" t="s">
        <v>23</v>
      </c>
      <c r="L743" t="s">
        <v>2337</v>
      </c>
      <c r="M743" t="s">
        <v>1816</v>
      </c>
      <c r="O743">
        <v>76372</v>
      </c>
    </row>
    <row r="744" spans="1:15" x14ac:dyDescent="0.35">
      <c r="A744" t="s">
        <v>75</v>
      </c>
      <c r="B744" t="s">
        <v>16</v>
      </c>
      <c r="C744" t="s">
        <v>61</v>
      </c>
      <c r="D744" t="s">
        <v>317</v>
      </c>
      <c r="E744" t="s">
        <v>318</v>
      </c>
      <c r="F744" t="s">
        <v>312</v>
      </c>
      <c r="G744" t="s">
        <v>319</v>
      </c>
      <c r="H744" t="s">
        <v>320</v>
      </c>
      <c r="I744" t="s">
        <v>58</v>
      </c>
      <c r="J744" s="1">
        <v>38120</v>
      </c>
      <c r="K744" t="s">
        <v>2338</v>
      </c>
      <c r="L744" t="s">
        <v>2339</v>
      </c>
      <c r="M744" t="s">
        <v>323</v>
      </c>
      <c r="N744">
        <v>4</v>
      </c>
      <c r="O744">
        <v>26752</v>
      </c>
    </row>
    <row r="745" spans="1:15" x14ac:dyDescent="0.35">
      <c r="A745" t="s">
        <v>15</v>
      </c>
      <c r="B745" t="s">
        <v>52</v>
      </c>
      <c r="C745" t="s">
        <v>36</v>
      </c>
      <c r="D745" t="s">
        <v>2340</v>
      </c>
      <c r="E745" t="s">
        <v>54</v>
      </c>
      <c r="F745" t="s">
        <v>399</v>
      </c>
      <c r="G745" t="s">
        <v>594</v>
      </c>
      <c r="H745" t="s">
        <v>41</v>
      </c>
      <c r="I745" t="s">
        <v>58</v>
      </c>
      <c r="J745">
        <v>600</v>
      </c>
      <c r="K745" t="s">
        <v>58</v>
      </c>
      <c r="L745" t="s">
        <v>2341</v>
      </c>
      <c r="M745" t="s">
        <v>60</v>
      </c>
      <c r="N745">
        <v>5</v>
      </c>
      <c r="O745">
        <v>112341</v>
      </c>
    </row>
    <row r="746" spans="1:15" x14ac:dyDescent="0.35">
      <c r="A746" t="s">
        <v>15</v>
      </c>
      <c r="B746" t="s">
        <v>16</v>
      </c>
      <c r="C746" t="s">
        <v>36</v>
      </c>
      <c r="D746" t="s">
        <v>1736</v>
      </c>
      <c r="E746" t="s">
        <v>2342</v>
      </c>
      <c r="F746" t="s">
        <v>125</v>
      </c>
      <c r="G746" t="s">
        <v>412</v>
      </c>
      <c r="H746" t="s">
        <v>41</v>
      </c>
      <c r="I746" t="s">
        <v>23</v>
      </c>
      <c r="J746" s="1">
        <v>258800</v>
      </c>
      <c r="K746" t="s">
        <v>2343</v>
      </c>
      <c r="L746" t="s">
        <v>2344</v>
      </c>
      <c r="M746" t="s">
        <v>51</v>
      </c>
      <c r="N746">
        <v>14</v>
      </c>
      <c r="O746">
        <v>222860.5</v>
      </c>
    </row>
    <row r="747" spans="1:15" x14ac:dyDescent="0.35">
      <c r="A747" t="s">
        <v>15</v>
      </c>
      <c r="B747" t="s">
        <v>27</v>
      </c>
      <c r="C747" t="s">
        <v>36</v>
      </c>
      <c r="D747" t="s">
        <v>920</v>
      </c>
      <c r="E747" t="s">
        <v>1304</v>
      </c>
      <c r="F747" t="s">
        <v>39</v>
      </c>
      <c r="G747" t="s">
        <v>921</v>
      </c>
      <c r="H747" t="s">
        <v>22</v>
      </c>
      <c r="I747" t="s">
        <v>23</v>
      </c>
      <c r="J747" s="1">
        <v>55140</v>
      </c>
      <c r="K747" t="s">
        <v>2345</v>
      </c>
      <c r="L747" t="s">
        <v>2346</v>
      </c>
      <c r="M747" t="s">
        <v>2347</v>
      </c>
      <c r="O747">
        <v>206324.5</v>
      </c>
    </row>
    <row r="748" spans="1:15" x14ac:dyDescent="0.35">
      <c r="A748" t="s">
        <v>15</v>
      </c>
      <c r="B748" t="s">
        <v>16</v>
      </c>
      <c r="C748" t="s">
        <v>17</v>
      </c>
      <c r="D748" t="s">
        <v>1918</v>
      </c>
      <c r="E748" t="s">
        <v>2348</v>
      </c>
      <c r="F748" t="s">
        <v>856</v>
      </c>
      <c r="G748" t="s">
        <v>921</v>
      </c>
      <c r="H748" t="s">
        <v>41</v>
      </c>
      <c r="I748" t="s">
        <v>23</v>
      </c>
      <c r="J748" s="1">
        <v>27070</v>
      </c>
      <c r="K748" t="s">
        <v>23</v>
      </c>
      <c r="L748" t="s">
        <v>2349</v>
      </c>
      <c r="M748" t="s">
        <v>200</v>
      </c>
      <c r="N748">
        <v>23</v>
      </c>
      <c r="O748">
        <v>147963.5</v>
      </c>
    </row>
    <row r="749" spans="1:15" x14ac:dyDescent="0.35">
      <c r="A749" t="s">
        <v>15</v>
      </c>
      <c r="B749" t="s">
        <v>16</v>
      </c>
      <c r="C749" t="s">
        <v>36</v>
      </c>
      <c r="D749" t="s">
        <v>18</v>
      </c>
      <c r="E749" t="s">
        <v>2049</v>
      </c>
      <c r="F749" t="s">
        <v>1149</v>
      </c>
      <c r="G749" t="s">
        <v>21</v>
      </c>
      <c r="H749" t="s">
        <v>22</v>
      </c>
      <c r="I749" t="s">
        <v>23</v>
      </c>
      <c r="J749" t="s">
        <v>24</v>
      </c>
      <c r="K749" t="s">
        <v>23</v>
      </c>
      <c r="L749" t="s">
        <v>2350</v>
      </c>
      <c r="M749" t="s">
        <v>2351</v>
      </c>
      <c r="N749">
        <v>18</v>
      </c>
      <c r="O749">
        <v>195914</v>
      </c>
    </row>
    <row r="750" spans="1:15" x14ac:dyDescent="0.35">
      <c r="A750" t="s">
        <v>15</v>
      </c>
      <c r="B750" t="s">
        <v>16</v>
      </c>
      <c r="C750" t="s">
        <v>61</v>
      </c>
      <c r="D750" t="s">
        <v>539</v>
      </c>
      <c r="E750" t="s">
        <v>128</v>
      </c>
      <c r="F750" t="s">
        <v>39</v>
      </c>
      <c r="G750" t="s">
        <v>86</v>
      </c>
      <c r="H750" t="s">
        <v>41</v>
      </c>
      <c r="I750" t="s">
        <v>23</v>
      </c>
      <c r="J750" s="1">
        <v>222500</v>
      </c>
      <c r="K750" t="s">
        <v>23</v>
      </c>
      <c r="L750" t="s">
        <v>2352</v>
      </c>
      <c r="M750" t="s">
        <v>2353</v>
      </c>
      <c r="O750">
        <v>17919</v>
      </c>
    </row>
    <row r="751" spans="1:15" x14ac:dyDescent="0.35">
      <c r="A751" t="s">
        <v>15</v>
      </c>
      <c r="B751" t="s">
        <v>16</v>
      </c>
      <c r="C751" t="s">
        <v>61</v>
      </c>
      <c r="D751" t="s">
        <v>371</v>
      </c>
      <c r="E751" t="s">
        <v>2354</v>
      </c>
      <c r="F751" t="s">
        <v>39</v>
      </c>
      <c r="G751" t="s">
        <v>204</v>
      </c>
      <c r="H751" t="s">
        <v>22</v>
      </c>
      <c r="I751" t="s">
        <v>23</v>
      </c>
      <c r="J751" s="1">
        <v>865476</v>
      </c>
      <c r="K751" t="s">
        <v>2300</v>
      </c>
      <c r="L751" t="s">
        <v>2355</v>
      </c>
      <c r="M751" t="s">
        <v>2299</v>
      </c>
      <c r="O751">
        <v>80404</v>
      </c>
    </row>
    <row r="752" spans="1:15" x14ac:dyDescent="0.35">
      <c r="A752" t="s">
        <v>15</v>
      </c>
      <c r="B752" t="s">
        <v>16</v>
      </c>
      <c r="C752" t="s">
        <v>17</v>
      </c>
      <c r="D752" t="s">
        <v>480</v>
      </c>
      <c r="E752" t="s">
        <v>481</v>
      </c>
      <c r="F752" t="s">
        <v>39</v>
      </c>
      <c r="G752" t="s">
        <v>482</v>
      </c>
      <c r="H752" t="s">
        <v>41</v>
      </c>
      <c r="I752" t="s">
        <v>58</v>
      </c>
      <c r="J752" s="1">
        <v>3790</v>
      </c>
      <c r="K752" t="s">
        <v>58</v>
      </c>
      <c r="L752" t="s">
        <v>2030</v>
      </c>
      <c r="M752" t="s">
        <v>2356</v>
      </c>
      <c r="O752">
        <v>61775</v>
      </c>
    </row>
    <row r="753" spans="1:15" x14ac:dyDescent="0.35">
      <c r="A753" t="s">
        <v>15</v>
      </c>
      <c r="B753" t="s">
        <v>16</v>
      </c>
      <c r="C753" t="s">
        <v>61</v>
      </c>
      <c r="D753" t="s">
        <v>2275</v>
      </c>
      <c r="E753" t="s">
        <v>128</v>
      </c>
      <c r="F753" t="s">
        <v>39</v>
      </c>
      <c r="G753" t="s">
        <v>2276</v>
      </c>
      <c r="H753" t="s">
        <v>41</v>
      </c>
      <c r="I753" t="s">
        <v>58</v>
      </c>
      <c r="J753">
        <v>590</v>
      </c>
      <c r="K753" t="s">
        <v>58</v>
      </c>
      <c r="L753" t="s">
        <v>2357</v>
      </c>
      <c r="M753" t="s">
        <v>2333</v>
      </c>
      <c r="O753">
        <v>23238</v>
      </c>
    </row>
    <row r="754" spans="1:15" x14ac:dyDescent="0.35">
      <c r="A754" t="s">
        <v>75</v>
      </c>
      <c r="B754" t="s">
        <v>27</v>
      </c>
      <c r="C754" t="s">
        <v>36</v>
      </c>
      <c r="D754" t="s">
        <v>601</v>
      </c>
      <c r="E754" t="s">
        <v>2358</v>
      </c>
      <c r="F754" t="s">
        <v>513</v>
      </c>
      <c r="G754" t="s">
        <v>65</v>
      </c>
      <c r="H754" t="s">
        <v>57</v>
      </c>
      <c r="I754" t="s">
        <v>23</v>
      </c>
      <c r="J754" s="1">
        <v>290760</v>
      </c>
      <c r="K754" t="s">
        <v>2359</v>
      </c>
      <c r="L754" t="s">
        <v>2360</v>
      </c>
      <c r="M754" t="s">
        <v>2252</v>
      </c>
      <c r="N754">
        <v>22</v>
      </c>
      <c r="O754">
        <v>196372</v>
      </c>
    </row>
    <row r="755" spans="1:15" x14ac:dyDescent="0.35">
      <c r="A755" t="s">
        <v>15</v>
      </c>
      <c r="B755" t="s">
        <v>16</v>
      </c>
      <c r="C755" t="s">
        <v>61</v>
      </c>
      <c r="D755" t="s">
        <v>1228</v>
      </c>
      <c r="E755" t="s">
        <v>1229</v>
      </c>
      <c r="F755" t="s">
        <v>196</v>
      </c>
      <c r="G755" t="s">
        <v>758</v>
      </c>
      <c r="H755" t="s">
        <v>41</v>
      </c>
      <c r="I755" t="s">
        <v>58</v>
      </c>
      <c r="J755" s="1">
        <v>10210</v>
      </c>
      <c r="K755" t="s">
        <v>58</v>
      </c>
      <c r="L755" t="s">
        <v>2361</v>
      </c>
      <c r="M755" t="s">
        <v>2362</v>
      </c>
      <c r="N755">
        <v>7</v>
      </c>
      <c r="O755">
        <v>65766</v>
      </c>
    </row>
    <row r="756" spans="1:15" x14ac:dyDescent="0.35">
      <c r="A756" t="s">
        <v>15</v>
      </c>
      <c r="B756" t="s">
        <v>16</v>
      </c>
      <c r="C756" t="s">
        <v>61</v>
      </c>
      <c r="D756" t="s">
        <v>445</v>
      </c>
      <c r="E756" t="s">
        <v>128</v>
      </c>
      <c r="F756" t="s">
        <v>237</v>
      </c>
      <c r="G756" t="s">
        <v>446</v>
      </c>
      <c r="H756" t="s">
        <v>41</v>
      </c>
      <c r="I756" t="s">
        <v>23</v>
      </c>
      <c r="J756" s="1">
        <v>524588</v>
      </c>
      <c r="K756" t="s">
        <v>2069</v>
      </c>
      <c r="L756" t="s">
        <v>2363</v>
      </c>
      <c r="M756" t="s">
        <v>1742</v>
      </c>
      <c r="N756">
        <v>20</v>
      </c>
      <c r="O756">
        <v>42872</v>
      </c>
    </row>
    <row r="757" spans="1:15" x14ac:dyDescent="0.35">
      <c r="A757" t="s">
        <v>15</v>
      </c>
      <c r="B757" t="s">
        <v>99</v>
      </c>
      <c r="C757" t="s">
        <v>17</v>
      </c>
      <c r="D757" t="s">
        <v>836</v>
      </c>
      <c r="E757" t="s">
        <v>2364</v>
      </c>
      <c r="F757" t="s">
        <v>125</v>
      </c>
      <c r="G757" t="s">
        <v>838</v>
      </c>
      <c r="H757" t="s">
        <v>41</v>
      </c>
      <c r="I757" t="s">
        <v>23</v>
      </c>
      <c r="J757" s="1">
        <v>132030</v>
      </c>
      <c r="K757" t="s">
        <v>2365</v>
      </c>
      <c r="L757" t="s">
        <v>2366</v>
      </c>
      <c r="M757" t="s">
        <v>60</v>
      </c>
      <c r="N757">
        <v>14</v>
      </c>
      <c r="O757">
        <v>115081</v>
      </c>
    </row>
    <row r="758" spans="1:15" x14ac:dyDescent="0.35">
      <c r="A758" t="s">
        <v>75</v>
      </c>
      <c r="B758" t="s">
        <v>99</v>
      </c>
      <c r="C758" t="s">
        <v>61</v>
      </c>
      <c r="D758" t="s">
        <v>1802</v>
      </c>
      <c r="E758" t="s">
        <v>128</v>
      </c>
      <c r="F758" t="s">
        <v>125</v>
      </c>
      <c r="G758" t="s">
        <v>1803</v>
      </c>
      <c r="H758" t="s">
        <v>41</v>
      </c>
      <c r="I758" t="s">
        <v>23</v>
      </c>
      <c r="J758" s="1">
        <v>492205</v>
      </c>
      <c r="K758" t="s">
        <v>2218</v>
      </c>
      <c r="L758" t="s">
        <v>2367</v>
      </c>
      <c r="M758" t="s">
        <v>659</v>
      </c>
      <c r="N758">
        <v>14</v>
      </c>
      <c r="O758">
        <v>18356.5</v>
      </c>
    </row>
    <row r="759" spans="1:15" x14ac:dyDescent="0.35">
      <c r="A759" t="s">
        <v>15</v>
      </c>
      <c r="B759" t="s">
        <v>52</v>
      </c>
      <c r="C759" t="s">
        <v>17</v>
      </c>
      <c r="D759" t="s">
        <v>1561</v>
      </c>
      <c r="E759" t="s">
        <v>1347</v>
      </c>
      <c r="F759" t="s">
        <v>244</v>
      </c>
      <c r="G759" t="s">
        <v>1563</v>
      </c>
      <c r="H759" t="s">
        <v>41</v>
      </c>
      <c r="I759" t="s">
        <v>58</v>
      </c>
      <c r="J759" s="1">
        <v>3560</v>
      </c>
      <c r="K759" t="s">
        <v>58</v>
      </c>
      <c r="L759" t="s">
        <v>2368</v>
      </c>
      <c r="M759" t="s">
        <v>60</v>
      </c>
      <c r="N759">
        <v>2</v>
      </c>
      <c r="O759">
        <v>132438.5</v>
      </c>
    </row>
    <row r="760" spans="1:15" x14ac:dyDescent="0.35">
      <c r="A760" t="s">
        <v>15</v>
      </c>
      <c r="B760" t="s">
        <v>16</v>
      </c>
      <c r="C760" t="s">
        <v>36</v>
      </c>
      <c r="D760" t="s">
        <v>920</v>
      </c>
      <c r="E760" t="s">
        <v>2044</v>
      </c>
      <c r="F760" t="s">
        <v>30</v>
      </c>
      <c r="G760" t="s">
        <v>921</v>
      </c>
      <c r="H760" t="s">
        <v>22</v>
      </c>
      <c r="I760" t="s">
        <v>23</v>
      </c>
      <c r="J760" s="1">
        <v>55140</v>
      </c>
      <c r="K760" t="s">
        <v>2041</v>
      </c>
      <c r="L760" t="s">
        <v>2369</v>
      </c>
      <c r="M760" t="s">
        <v>2026</v>
      </c>
      <c r="N760">
        <v>15</v>
      </c>
      <c r="O760">
        <v>169153.5</v>
      </c>
    </row>
    <row r="761" spans="1:15" x14ac:dyDescent="0.35">
      <c r="A761" t="s">
        <v>15</v>
      </c>
      <c r="B761" t="s">
        <v>52</v>
      </c>
      <c r="C761" t="s">
        <v>82</v>
      </c>
      <c r="D761" t="s">
        <v>1759</v>
      </c>
      <c r="E761" t="s">
        <v>84</v>
      </c>
      <c r="F761" t="s">
        <v>399</v>
      </c>
      <c r="G761" t="s">
        <v>65</v>
      </c>
      <c r="H761" t="s">
        <v>41</v>
      </c>
      <c r="I761" t="s">
        <v>58</v>
      </c>
      <c r="J761">
        <v>900</v>
      </c>
      <c r="K761" t="s">
        <v>2370</v>
      </c>
      <c r="L761" t="s">
        <v>2371</v>
      </c>
      <c r="M761" t="s">
        <v>60</v>
      </c>
      <c r="N761">
        <v>5</v>
      </c>
      <c r="O761">
        <v>164405</v>
      </c>
    </row>
    <row r="762" spans="1:15" x14ac:dyDescent="0.35">
      <c r="A762" t="s">
        <v>15</v>
      </c>
      <c r="B762" t="s">
        <v>16</v>
      </c>
      <c r="C762" t="s">
        <v>61</v>
      </c>
      <c r="D762" t="s">
        <v>579</v>
      </c>
      <c r="E762" t="s">
        <v>2372</v>
      </c>
      <c r="F762" t="s">
        <v>196</v>
      </c>
      <c r="G762" t="s">
        <v>580</v>
      </c>
      <c r="H762" t="s">
        <v>41</v>
      </c>
      <c r="I762" t="s">
        <v>23</v>
      </c>
      <c r="J762" s="1">
        <v>27420</v>
      </c>
      <c r="K762" t="s">
        <v>23</v>
      </c>
      <c r="L762" t="s">
        <v>2373</v>
      </c>
      <c r="M762" t="s">
        <v>2374</v>
      </c>
      <c r="N762">
        <v>7</v>
      </c>
      <c r="O762">
        <v>109183</v>
      </c>
    </row>
    <row r="763" spans="1:15" x14ac:dyDescent="0.35">
      <c r="A763" t="s">
        <v>15</v>
      </c>
      <c r="B763" t="s">
        <v>16</v>
      </c>
      <c r="C763" t="s">
        <v>36</v>
      </c>
      <c r="D763" t="s">
        <v>750</v>
      </c>
      <c r="E763" t="s">
        <v>732</v>
      </c>
      <c r="F763" t="s">
        <v>39</v>
      </c>
      <c r="G763" t="s">
        <v>752</v>
      </c>
      <c r="H763" t="s">
        <v>41</v>
      </c>
      <c r="I763" t="s">
        <v>23</v>
      </c>
      <c r="J763" s="1">
        <v>20030</v>
      </c>
      <c r="K763" t="s">
        <v>23</v>
      </c>
      <c r="L763" t="s">
        <v>2375</v>
      </c>
      <c r="M763" t="s">
        <v>118</v>
      </c>
      <c r="O763">
        <v>101339.5</v>
      </c>
    </row>
    <row r="764" spans="1:15" x14ac:dyDescent="0.35">
      <c r="A764" t="s">
        <v>15</v>
      </c>
      <c r="B764" t="s">
        <v>27</v>
      </c>
      <c r="C764" t="s">
        <v>61</v>
      </c>
      <c r="D764" t="s">
        <v>601</v>
      </c>
      <c r="E764" t="s">
        <v>128</v>
      </c>
      <c r="F764" t="s">
        <v>196</v>
      </c>
      <c r="G764" t="s">
        <v>65</v>
      </c>
      <c r="H764" t="s">
        <v>57</v>
      </c>
      <c r="I764" t="s">
        <v>23</v>
      </c>
      <c r="J764" s="1">
        <v>290770</v>
      </c>
      <c r="K764" t="s">
        <v>1849</v>
      </c>
      <c r="L764" t="s">
        <v>2376</v>
      </c>
      <c r="M764" t="s">
        <v>200</v>
      </c>
      <c r="N764">
        <v>7</v>
      </c>
      <c r="O764">
        <v>35605</v>
      </c>
    </row>
    <row r="765" spans="1:15" x14ac:dyDescent="0.35">
      <c r="A765" t="s">
        <v>15</v>
      </c>
      <c r="B765" t="s">
        <v>16</v>
      </c>
      <c r="C765" t="s">
        <v>61</v>
      </c>
      <c r="D765" t="s">
        <v>1736</v>
      </c>
      <c r="E765" t="s">
        <v>2377</v>
      </c>
      <c r="F765" t="s">
        <v>399</v>
      </c>
      <c r="G765" t="s">
        <v>412</v>
      </c>
      <c r="H765" t="s">
        <v>41</v>
      </c>
      <c r="I765" t="s">
        <v>23</v>
      </c>
      <c r="J765" s="1">
        <v>258810</v>
      </c>
      <c r="K765" t="s">
        <v>1998</v>
      </c>
      <c r="L765" t="s">
        <v>2378</v>
      </c>
      <c r="M765" t="s">
        <v>60</v>
      </c>
      <c r="N765">
        <v>5</v>
      </c>
      <c r="O765">
        <v>167239.5</v>
      </c>
    </row>
    <row r="766" spans="1:15" x14ac:dyDescent="0.35">
      <c r="A766" t="s">
        <v>15</v>
      </c>
      <c r="B766" t="s">
        <v>27</v>
      </c>
      <c r="C766" t="s">
        <v>36</v>
      </c>
      <c r="D766" t="s">
        <v>142</v>
      </c>
      <c r="E766" t="s">
        <v>796</v>
      </c>
      <c r="F766" t="s">
        <v>847</v>
      </c>
      <c r="G766" t="s">
        <v>144</v>
      </c>
      <c r="H766" t="s">
        <v>115</v>
      </c>
      <c r="I766" t="s">
        <v>23</v>
      </c>
      <c r="J766" s="1">
        <v>93570</v>
      </c>
      <c r="K766" t="s">
        <v>2379</v>
      </c>
      <c r="L766" t="s">
        <v>2380</v>
      </c>
      <c r="M766" t="s">
        <v>2381</v>
      </c>
      <c r="N766">
        <v>16</v>
      </c>
      <c r="O766">
        <v>159837</v>
      </c>
    </row>
    <row r="767" spans="1:15" x14ac:dyDescent="0.35">
      <c r="A767" t="s">
        <v>15</v>
      </c>
      <c r="B767" t="s">
        <v>99</v>
      </c>
      <c r="C767" t="s">
        <v>82</v>
      </c>
      <c r="D767" t="s">
        <v>962</v>
      </c>
      <c r="E767" t="s">
        <v>2382</v>
      </c>
      <c r="F767" t="s">
        <v>125</v>
      </c>
      <c r="G767" t="s">
        <v>964</v>
      </c>
      <c r="H767" t="s">
        <v>41</v>
      </c>
      <c r="I767" t="s">
        <v>61</v>
      </c>
      <c r="J767" t="s">
        <v>58</v>
      </c>
      <c r="K767" t="s">
        <v>965</v>
      </c>
      <c r="L767" t="s">
        <v>2383</v>
      </c>
      <c r="M767" t="s">
        <v>110</v>
      </c>
      <c r="N767">
        <v>14</v>
      </c>
      <c r="O767">
        <v>25213</v>
      </c>
    </row>
    <row r="768" spans="1:15" x14ac:dyDescent="0.35">
      <c r="A768" t="s">
        <v>15</v>
      </c>
      <c r="B768" t="s">
        <v>27</v>
      </c>
      <c r="C768" t="s">
        <v>61</v>
      </c>
      <c r="D768" t="s">
        <v>864</v>
      </c>
      <c r="E768" t="s">
        <v>865</v>
      </c>
      <c r="F768" t="s">
        <v>39</v>
      </c>
      <c r="G768" t="s">
        <v>866</v>
      </c>
      <c r="H768" t="s">
        <v>41</v>
      </c>
      <c r="I768" t="s">
        <v>58</v>
      </c>
      <c r="J768">
        <v>180</v>
      </c>
      <c r="K768" t="s">
        <v>58</v>
      </c>
      <c r="L768" t="s">
        <v>2384</v>
      </c>
      <c r="M768" t="s">
        <v>868</v>
      </c>
      <c r="O768">
        <v>123307</v>
      </c>
    </row>
    <row r="769" spans="1:15" x14ac:dyDescent="0.35">
      <c r="A769" t="s">
        <v>15</v>
      </c>
      <c r="B769" t="s">
        <v>16</v>
      </c>
      <c r="C769" t="s">
        <v>36</v>
      </c>
      <c r="D769" t="s">
        <v>1794</v>
      </c>
      <c r="E769" t="s">
        <v>94</v>
      </c>
      <c r="F769" t="s">
        <v>244</v>
      </c>
      <c r="G769" t="s">
        <v>238</v>
      </c>
      <c r="H769" t="s">
        <v>22</v>
      </c>
      <c r="I769" t="s">
        <v>23</v>
      </c>
      <c r="J769" s="1">
        <v>500010</v>
      </c>
      <c r="K769" t="s">
        <v>23</v>
      </c>
      <c r="L769" t="s">
        <v>2385</v>
      </c>
      <c r="M769" t="s">
        <v>300</v>
      </c>
      <c r="N769">
        <v>2</v>
      </c>
      <c r="O769">
        <v>116908</v>
      </c>
    </row>
    <row r="770" spans="1:15" x14ac:dyDescent="0.35">
      <c r="A770" t="s">
        <v>15</v>
      </c>
      <c r="B770" t="s">
        <v>16</v>
      </c>
      <c r="C770" t="s">
        <v>17</v>
      </c>
      <c r="D770" t="s">
        <v>1548</v>
      </c>
      <c r="E770" t="s">
        <v>1549</v>
      </c>
      <c r="F770" t="s">
        <v>125</v>
      </c>
      <c r="G770" t="s">
        <v>1550</v>
      </c>
      <c r="H770" t="s">
        <v>115</v>
      </c>
      <c r="I770" t="s">
        <v>23</v>
      </c>
      <c r="J770" s="1">
        <v>107730</v>
      </c>
      <c r="K770" t="s">
        <v>2386</v>
      </c>
      <c r="L770" t="s">
        <v>2387</v>
      </c>
      <c r="M770" t="s">
        <v>2121</v>
      </c>
      <c r="N770">
        <v>14</v>
      </c>
      <c r="O770">
        <v>172622.5</v>
      </c>
    </row>
    <row r="771" spans="1:15" x14ac:dyDescent="0.35">
      <c r="A771" t="s">
        <v>15</v>
      </c>
      <c r="B771" t="s">
        <v>16</v>
      </c>
      <c r="C771" t="s">
        <v>17</v>
      </c>
      <c r="D771" t="s">
        <v>1914</v>
      </c>
      <c r="E771" t="s">
        <v>2013</v>
      </c>
      <c r="F771" t="s">
        <v>431</v>
      </c>
      <c r="G771" t="s">
        <v>946</v>
      </c>
      <c r="H771" t="s">
        <v>22</v>
      </c>
      <c r="I771" t="s">
        <v>23</v>
      </c>
      <c r="J771" s="1">
        <v>409060</v>
      </c>
      <c r="K771" t="s">
        <v>2388</v>
      </c>
      <c r="L771" t="s">
        <v>2389</v>
      </c>
      <c r="M771" t="s">
        <v>2390</v>
      </c>
      <c r="N771">
        <v>21</v>
      </c>
      <c r="O771">
        <v>121475.5</v>
      </c>
    </row>
    <row r="772" spans="1:15" x14ac:dyDescent="0.35">
      <c r="A772" t="s">
        <v>15</v>
      </c>
      <c r="B772" t="s">
        <v>52</v>
      </c>
      <c r="C772" t="s">
        <v>17</v>
      </c>
      <c r="D772" t="s">
        <v>1561</v>
      </c>
      <c r="E772" t="s">
        <v>2391</v>
      </c>
      <c r="F772" t="s">
        <v>244</v>
      </c>
      <c r="G772" t="s">
        <v>1563</v>
      </c>
      <c r="H772" t="s">
        <v>41</v>
      </c>
      <c r="I772" t="s">
        <v>58</v>
      </c>
      <c r="J772" s="1">
        <v>3520</v>
      </c>
      <c r="K772" t="s">
        <v>58</v>
      </c>
      <c r="L772" t="s">
        <v>1564</v>
      </c>
      <c r="M772" t="s">
        <v>60</v>
      </c>
      <c r="N772">
        <v>2</v>
      </c>
      <c r="O772">
        <v>34569</v>
      </c>
    </row>
    <row r="773" spans="1:15" x14ac:dyDescent="0.35">
      <c r="A773" t="s">
        <v>15</v>
      </c>
      <c r="B773" t="s">
        <v>16</v>
      </c>
      <c r="C773" t="s">
        <v>36</v>
      </c>
      <c r="D773" t="s">
        <v>18</v>
      </c>
      <c r="E773" t="s">
        <v>2125</v>
      </c>
      <c r="F773" t="s">
        <v>847</v>
      </c>
      <c r="G773" t="s">
        <v>21</v>
      </c>
      <c r="H773" t="s">
        <v>22</v>
      </c>
      <c r="I773" t="s">
        <v>23</v>
      </c>
      <c r="J773" t="s">
        <v>24</v>
      </c>
      <c r="K773" t="s">
        <v>23</v>
      </c>
      <c r="L773" t="s">
        <v>2392</v>
      </c>
      <c r="M773" t="s">
        <v>2127</v>
      </c>
      <c r="N773">
        <v>16</v>
      </c>
      <c r="O773">
        <v>147964.5</v>
      </c>
    </row>
    <row r="774" spans="1:15" x14ac:dyDescent="0.35">
      <c r="A774" t="s">
        <v>15</v>
      </c>
      <c r="B774" t="s">
        <v>16</v>
      </c>
      <c r="C774" t="s">
        <v>36</v>
      </c>
      <c r="D774" t="s">
        <v>1929</v>
      </c>
      <c r="E774" t="s">
        <v>2393</v>
      </c>
      <c r="F774" t="s">
        <v>196</v>
      </c>
      <c r="G774" t="s">
        <v>229</v>
      </c>
      <c r="H774" t="s">
        <v>57</v>
      </c>
      <c r="I774" t="s">
        <v>58</v>
      </c>
      <c r="J774" s="1">
        <v>312060</v>
      </c>
      <c r="K774" t="s">
        <v>58</v>
      </c>
      <c r="L774" t="s">
        <v>2225</v>
      </c>
      <c r="M774" t="s">
        <v>2394</v>
      </c>
      <c r="N774">
        <v>7</v>
      </c>
      <c r="O774">
        <v>28046</v>
      </c>
    </row>
    <row r="775" spans="1:15" x14ac:dyDescent="0.35">
      <c r="A775" t="s">
        <v>15</v>
      </c>
      <c r="B775" t="s">
        <v>16</v>
      </c>
      <c r="C775" t="s">
        <v>17</v>
      </c>
      <c r="D775" t="s">
        <v>2395</v>
      </c>
      <c r="E775" t="s">
        <v>2396</v>
      </c>
      <c r="F775" t="s">
        <v>312</v>
      </c>
      <c r="G775" t="s">
        <v>2397</v>
      </c>
      <c r="H775" t="s">
        <v>57</v>
      </c>
      <c r="I775" t="s">
        <v>58</v>
      </c>
      <c r="J775" s="1">
        <v>20600</v>
      </c>
      <c r="K775" t="s">
        <v>58</v>
      </c>
      <c r="L775" t="s">
        <v>2398</v>
      </c>
      <c r="M775" t="s">
        <v>81</v>
      </c>
      <c r="N775">
        <v>4</v>
      </c>
      <c r="O775">
        <v>121480.5</v>
      </c>
    </row>
    <row r="776" spans="1:15" x14ac:dyDescent="0.35">
      <c r="A776" t="s">
        <v>75</v>
      </c>
      <c r="B776" t="s">
        <v>27</v>
      </c>
      <c r="C776" t="s">
        <v>36</v>
      </c>
      <c r="D776" t="s">
        <v>601</v>
      </c>
      <c r="E776" t="s">
        <v>2249</v>
      </c>
      <c r="F776" t="s">
        <v>39</v>
      </c>
      <c r="G776" t="s">
        <v>65</v>
      </c>
      <c r="H776" t="s">
        <v>57</v>
      </c>
      <c r="I776" t="s">
        <v>23</v>
      </c>
      <c r="J776" s="1">
        <v>290740</v>
      </c>
      <c r="K776" t="s">
        <v>2399</v>
      </c>
      <c r="L776" t="s">
        <v>2400</v>
      </c>
      <c r="M776" t="s">
        <v>2252</v>
      </c>
      <c r="O776">
        <v>164408</v>
      </c>
    </row>
    <row r="777" spans="1:15" x14ac:dyDescent="0.35">
      <c r="A777" t="s">
        <v>75</v>
      </c>
      <c r="B777" t="s">
        <v>69</v>
      </c>
      <c r="C777" t="s">
        <v>36</v>
      </c>
      <c r="D777" t="s">
        <v>2401</v>
      </c>
      <c r="E777" t="s">
        <v>2044</v>
      </c>
      <c r="F777" t="s">
        <v>2402</v>
      </c>
      <c r="G777" t="s">
        <v>2403</v>
      </c>
      <c r="H777" t="s">
        <v>41</v>
      </c>
      <c r="I777" t="s">
        <v>58</v>
      </c>
      <c r="J777" s="1">
        <v>110010</v>
      </c>
      <c r="K777" t="s">
        <v>2404</v>
      </c>
      <c r="L777" t="s">
        <v>2405</v>
      </c>
      <c r="M777" t="s">
        <v>2406</v>
      </c>
      <c r="N777">
        <v>8</v>
      </c>
      <c r="O777">
        <v>180385.5</v>
      </c>
    </row>
    <row r="778" spans="1:15" x14ac:dyDescent="0.35">
      <c r="A778" t="s">
        <v>15</v>
      </c>
      <c r="B778" t="s">
        <v>16</v>
      </c>
      <c r="C778" t="s">
        <v>36</v>
      </c>
      <c r="D778" t="s">
        <v>1736</v>
      </c>
      <c r="E778" t="s">
        <v>2049</v>
      </c>
      <c r="F778" t="s">
        <v>125</v>
      </c>
      <c r="G778" t="s">
        <v>412</v>
      </c>
      <c r="H778" t="s">
        <v>41</v>
      </c>
      <c r="I778" t="s">
        <v>23</v>
      </c>
      <c r="J778" s="1">
        <v>258790</v>
      </c>
      <c r="K778" t="s">
        <v>1998</v>
      </c>
      <c r="L778" t="s">
        <v>2407</v>
      </c>
      <c r="M778" t="s">
        <v>51</v>
      </c>
      <c r="N778">
        <v>14</v>
      </c>
      <c r="O778">
        <v>249803.5</v>
      </c>
    </row>
    <row r="779" spans="1:15" x14ac:dyDescent="0.35">
      <c r="A779" t="s">
        <v>15</v>
      </c>
      <c r="B779" t="s">
        <v>16</v>
      </c>
      <c r="C779" t="s">
        <v>36</v>
      </c>
      <c r="D779" t="s">
        <v>915</v>
      </c>
      <c r="E779" t="s">
        <v>2408</v>
      </c>
      <c r="F779" t="s">
        <v>39</v>
      </c>
      <c r="G779" t="s">
        <v>916</v>
      </c>
      <c r="H779" t="s">
        <v>57</v>
      </c>
      <c r="I779" t="s">
        <v>23</v>
      </c>
      <c r="J779" s="1">
        <v>62030</v>
      </c>
      <c r="K779" t="s">
        <v>917</v>
      </c>
      <c r="L779" t="s">
        <v>2409</v>
      </c>
      <c r="M779" t="s">
        <v>919</v>
      </c>
      <c r="O779">
        <v>210400.5</v>
      </c>
    </row>
    <row r="780" spans="1:15" x14ac:dyDescent="0.35">
      <c r="A780" t="s">
        <v>15</v>
      </c>
      <c r="B780" t="s">
        <v>16</v>
      </c>
      <c r="C780" t="s">
        <v>17</v>
      </c>
      <c r="D780" t="s">
        <v>1989</v>
      </c>
      <c r="E780" t="s">
        <v>2016</v>
      </c>
      <c r="F780" t="s">
        <v>196</v>
      </c>
      <c r="G780" t="s">
        <v>238</v>
      </c>
      <c r="H780" t="s">
        <v>57</v>
      </c>
      <c r="I780" t="s">
        <v>23</v>
      </c>
      <c r="J780" s="1">
        <v>11060</v>
      </c>
      <c r="K780" t="s">
        <v>2410</v>
      </c>
      <c r="L780" t="s">
        <v>2411</v>
      </c>
      <c r="M780" t="s">
        <v>81</v>
      </c>
      <c r="N780">
        <v>7</v>
      </c>
      <c r="O780">
        <v>94080</v>
      </c>
    </row>
    <row r="781" spans="1:15" x14ac:dyDescent="0.35">
      <c r="A781" t="s">
        <v>75</v>
      </c>
      <c r="B781" t="s">
        <v>99</v>
      </c>
      <c r="C781" t="s">
        <v>61</v>
      </c>
      <c r="D781" t="s">
        <v>1802</v>
      </c>
      <c r="E781" t="s">
        <v>128</v>
      </c>
      <c r="F781" t="s">
        <v>125</v>
      </c>
      <c r="G781" t="s">
        <v>1803</v>
      </c>
      <c r="H781" t="s">
        <v>41</v>
      </c>
      <c r="I781" t="s">
        <v>23</v>
      </c>
      <c r="J781" s="1">
        <v>492205</v>
      </c>
      <c r="K781" t="s">
        <v>2131</v>
      </c>
      <c r="L781" t="s">
        <v>2412</v>
      </c>
      <c r="M781" t="s">
        <v>2413</v>
      </c>
      <c r="N781">
        <v>14</v>
      </c>
      <c r="O781">
        <v>18359.5</v>
      </c>
    </row>
    <row r="782" spans="1:15" x14ac:dyDescent="0.35">
      <c r="A782" t="s">
        <v>15</v>
      </c>
      <c r="B782" t="s">
        <v>16</v>
      </c>
      <c r="C782" t="s">
        <v>17</v>
      </c>
      <c r="D782" t="s">
        <v>1749</v>
      </c>
      <c r="E782" t="s">
        <v>2414</v>
      </c>
      <c r="F782" t="s">
        <v>244</v>
      </c>
      <c r="G782" t="s">
        <v>1751</v>
      </c>
      <c r="H782" t="s">
        <v>57</v>
      </c>
      <c r="I782" t="s">
        <v>23</v>
      </c>
      <c r="J782" s="1">
        <v>18170</v>
      </c>
      <c r="K782" t="s">
        <v>2415</v>
      </c>
      <c r="L782" t="s">
        <v>2416</v>
      </c>
      <c r="M782" t="s">
        <v>2417</v>
      </c>
      <c r="N782">
        <v>2</v>
      </c>
      <c r="O782">
        <v>126407</v>
      </c>
    </row>
    <row r="783" spans="1:15" x14ac:dyDescent="0.35">
      <c r="A783" t="s">
        <v>75</v>
      </c>
      <c r="B783" t="s">
        <v>16</v>
      </c>
      <c r="C783" t="s">
        <v>36</v>
      </c>
      <c r="D783" t="s">
        <v>2170</v>
      </c>
      <c r="E783" t="s">
        <v>268</v>
      </c>
      <c r="F783" t="s">
        <v>125</v>
      </c>
      <c r="G783" t="s">
        <v>204</v>
      </c>
      <c r="H783" t="s">
        <v>41</v>
      </c>
      <c r="I783" t="s">
        <v>23</v>
      </c>
      <c r="J783" s="1">
        <v>26050</v>
      </c>
      <c r="K783" t="s">
        <v>23</v>
      </c>
      <c r="L783" t="s">
        <v>2418</v>
      </c>
      <c r="M783" t="s">
        <v>2419</v>
      </c>
      <c r="N783">
        <v>14</v>
      </c>
      <c r="O783">
        <v>252999</v>
      </c>
    </row>
    <row r="784" spans="1:15" x14ac:dyDescent="0.35">
      <c r="A784" t="s">
        <v>15</v>
      </c>
      <c r="B784" t="s">
        <v>16</v>
      </c>
      <c r="C784" t="s">
        <v>82</v>
      </c>
      <c r="D784" t="s">
        <v>1477</v>
      </c>
      <c r="E784" t="s">
        <v>2420</v>
      </c>
      <c r="F784" t="s">
        <v>47</v>
      </c>
      <c r="G784" t="s">
        <v>1478</v>
      </c>
      <c r="H784" t="s">
        <v>115</v>
      </c>
      <c r="I784" t="s">
        <v>61</v>
      </c>
      <c r="J784" s="1">
        <v>120050</v>
      </c>
      <c r="K784" t="s">
        <v>960</v>
      </c>
      <c r="L784" t="s">
        <v>2421</v>
      </c>
      <c r="M784" t="s">
        <v>1480</v>
      </c>
      <c r="N784">
        <v>8</v>
      </c>
      <c r="O784">
        <v>159841</v>
      </c>
    </row>
    <row r="785" spans="1:15" x14ac:dyDescent="0.35">
      <c r="A785" t="s">
        <v>15</v>
      </c>
      <c r="B785" t="s">
        <v>16</v>
      </c>
      <c r="C785" t="s">
        <v>17</v>
      </c>
      <c r="D785" t="s">
        <v>257</v>
      </c>
      <c r="E785" t="s">
        <v>258</v>
      </c>
      <c r="F785" t="s">
        <v>196</v>
      </c>
      <c r="G785" t="s">
        <v>90</v>
      </c>
      <c r="H785" t="s">
        <v>41</v>
      </c>
      <c r="I785" t="s">
        <v>23</v>
      </c>
      <c r="J785" s="1">
        <v>5030</v>
      </c>
      <c r="K785" t="s">
        <v>2422</v>
      </c>
      <c r="L785" t="s">
        <v>260</v>
      </c>
      <c r="M785" t="s">
        <v>60</v>
      </c>
      <c r="N785">
        <v>7</v>
      </c>
      <c r="O785">
        <v>152074.5</v>
      </c>
    </row>
    <row r="786" spans="1:15" x14ac:dyDescent="0.35">
      <c r="A786" t="s">
        <v>15</v>
      </c>
      <c r="B786" t="s">
        <v>16</v>
      </c>
      <c r="C786" t="s">
        <v>17</v>
      </c>
      <c r="D786" t="s">
        <v>703</v>
      </c>
      <c r="E786" t="s">
        <v>2016</v>
      </c>
      <c r="F786" t="s">
        <v>196</v>
      </c>
      <c r="G786" t="s">
        <v>169</v>
      </c>
      <c r="H786" t="s">
        <v>41</v>
      </c>
      <c r="I786" t="s">
        <v>23</v>
      </c>
      <c r="J786" s="1">
        <v>261070</v>
      </c>
      <c r="K786" t="s">
        <v>2423</v>
      </c>
      <c r="L786" t="s">
        <v>2424</v>
      </c>
      <c r="M786" t="s">
        <v>2019</v>
      </c>
      <c r="N786">
        <v>7</v>
      </c>
      <c r="O786">
        <v>118054.5</v>
      </c>
    </row>
    <row r="787" spans="1:15" x14ac:dyDescent="0.35">
      <c r="A787" t="s">
        <v>15</v>
      </c>
      <c r="B787" t="s">
        <v>27</v>
      </c>
      <c r="C787" t="s">
        <v>61</v>
      </c>
      <c r="D787" t="s">
        <v>645</v>
      </c>
      <c r="E787" t="s">
        <v>646</v>
      </c>
      <c r="F787" t="s">
        <v>237</v>
      </c>
      <c r="G787" t="s">
        <v>647</v>
      </c>
      <c r="H787" t="s">
        <v>57</v>
      </c>
      <c r="I787" t="s">
        <v>23</v>
      </c>
      <c r="J787" s="1">
        <v>30840</v>
      </c>
      <c r="K787" t="s">
        <v>23</v>
      </c>
      <c r="L787" t="s">
        <v>2425</v>
      </c>
      <c r="M787" t="s">
        <v>2426</v>
      </c>
      <c r="N787">
        <v>20</v>
      </c>
      <c r="O787">
        <v>67039</v>
      </c>
    </row>
    <row r="788" spans="1:15" x14ac:dyDescent="0.35">
      <c r="A788" t="s">
        <v>75</v>
      </c>
      <c r="B788" t="s">
        <v>16</v>
      </c>
      <c r="C788" t="s">
        <v>36</v>
      </c>
      <c r="D788" t="s">
        <v>1646</v>
      </c>
      <c r="E788" t="s">
        <v>2427</v>
      </c>
      <c r="F788" t="s">
        <v>113</v>
      </c>
      <c r="G788" t="s">
        <v>1648</v>
      </c>
      <c r="H788" t="s">
        <v>41</v>
      </c>
      <c r="I788" t="s">
        <v>23</v>
      </c>
      <c r="J788" s="1">
        <v>117760</v>
      </c>
      <c r="K788" t="s">
        <v>2428</v>
      </c>
      <c r="L788" t="s">
        <v>2429</v>
      </c>
      <c r="M788" t="s">
        <v>1651</v>
      </c>
      <c r="N788">
        <v>19</v>
      </c>
      <c r="O788">
        <v>121019</v>
      </c>
    </row>
    <row r="789" spans="1:15" x14ac:dyDescent="0.35">
      <c r="A789" t="s">
        <v>15</v>
      </c>
      <c r="B789" t="s">
        <v>16</v>
      </c>
      <c r="C789" t="s">
        <v>36</v>
      </c>
      <c r="D789" t="s">
        <v>371</v>
      </c>
      <c r="E789" t="s">
        <v>2430</v>
      </c>
      <c r="F789" t="s">
        <v>394</v>
      </c>
      <c r="G789" t="s">
        <v>204</v>
      </c>
      <c r="H789" t="s">
        <v>22</v>
      </c>
      <c r="I789" t="s">
        <v>23</v>
      </c>
      <c r="J789" s="1">
        <v>865476</v>
      </c>
      <c r="K789" t="s">
        <v>2431</v>
      </c>
      <c r="L789" t="s">
        <v>2432</v>
      </c>
      <c r="M789" t="s">
        <v>1512</v>
      </c>
      <c r="N789">
        <v>11</v>
      </c>
      <c r="O789">
        <v>158932</v>
      </c>
    </row>
    <row r="790" spans="1:15" x14ac:dyDescent="0.35">
      <c r="A790" t="s">
        <v>15</v>
      </c>
      <c r="B790" t="s">
        <v>16</v>
      </c>
      <c r="C790" t="s">
        <v>17</v>
      </c>
      <c r="D790" t="s">
        <v>836</v>
      </c>
      <c r="E790" t="s">
        <v>2433</v>
      </c>
      <c r="F790" t="s">
        <v>85</v>
      </c>
      <c r="G790" t="s">
        <v>838</v>
      </c>
      <c r="H790" t="s">
        <v>41</v>
      </c>
      <c r="I790" t="s">
        <v>23</v>
      </c>
      <c r="J790" s="1">
        <v>132040</v>
      </c>
      <c r="K790" t="s">
        <v>839</v>
      </c>
      <c r="L790" t="s">
        <v>2434</v>
      </c>
      <c r="M790" t="s">
        <v>2435</v>
      </c>
      <c r="N790">
        <v>6</v>
      </c>
      <c r="O790">
        <v>73984</v>
      </c>
    </row>
    <row r="791" spans="1:15" x14ac:dyDescent="0.35">
      <c r="A791" t="s">
        <v>15</v>
      </c>
      <c r="B791" t="s">
        <v>16</v>
      </c>
      <c r="C791" t="s">
        <v>61</v>
      </c>
      <c r="D791" t="s">
        <v>2170</v>
      </c>
      <c r="E791" t="s">
        <v>128</v>
      </c>
      <c r="F791" t="s">
        <v>139</v>
      </c>
      <c r="G791" t="s">
        <v>204</v>
      </c>
      <c r="H791" t="s">
        <v>41</v>
      </c>
      <c r="I791" t="s">
        <v>23</v>
      </c>
      <c r="J791" s="1">
        <v>26090</v>
      </c>
      <c r="K791" t="s">
        <v>23</v>
      </c>
      <c r="L791" t="s">
        <v>2436</v>
      </c>
      <c r="M791" t="s">
        <v>300</v>
      </c>
      <c r="N791">
        <v>13</v>
      </c>
      <c r="O791">
        <v>32733</v>
      </c>
    </row>
    <row r="792" spans="1:15" x14ac:dyDescent="0.35">
      <c r="A792" t="s">
        <v>15</v>
      </c>
      <c r="B792" t="s">
        <v>16</v>
      </c>
      <c r="C792" t="s">
        <v>82</v>
      </c>
      <c r="D792" t="s">
        <v>587</v>
      </c>
      <c r="E792" t="s">
        <v>1652</v>
      </c>
      <c r="F792" t="s">
        <v>125</v>
      </c>
      <c r="G792" t="s">
        <v>588</v>
      </c>
      <c r="H792" t="s">
        <v>41</v>
      </c>
      <c r="I792" t="s">
        <v>58</v>
      </c>
      <c r="J792">
        <v>30</v>
      </c>
      <c r="K792" t="s">
        <v>58</v>
      </c>
      <c r="L792" t="s">
        <v>2437</v>
      </c>
      <c r="M792" t="s">
        <v>241</v>
      </c>
      <c r="N792">
        <v>14</v>
      </c>
      <c r="O792">
        <v>146137</v>
      </c>
    </row>
    <row r="793" spans="1:15" x14ac:dyDescent="0.35">
      <c r="A793" t="s">
        <v>15</v>
      </c>
      <c r="B793" t="s">
        <v>16</v>
      </c>
      <c r="C793" t="s">
        <v>36</v>
      </c>
      <c r="D793" t="s">
        <v>579</v>
      </c>
      <c r="E793" t="s">
        <v>2208</v>
      </c>
      <c r="F793" t="s">
        <v>39</v>
      </c>
      <c r="G793" t="s">
        <v>580</v>
      </c>
      <c r="H793" t="s">
        <v>41</v>
      </c>
      <c r="I793" t="s">
        <v>23</v>
      </c>
      <c r="J793" s="1">
        <v>27410</v>
      </c>
      <c r="K793" t="s">
        <v>23</v>
      </c>
      <c r="L793" t="s">
        <v>2438</v>
      </c>
      <c r="M793" t="s">
        <v>2210</v>
      </c>
      <c r="O793">
        <v>134186.5</v>
      </c>
    </row>
    <row r="794" spans="1:15" x14ac:dyDescent="0.35">
      <c r="A794" t="s">
        <v>15</v>
      </c>
      <c r="B794" t="s">
        <v>99</v>
      </c>
      <c r="C794" t="s">
        <v>36</v>
      </c>
      <c r="D794" t="s">
        <v>762</v>
      </c>
      <c r="E794" t="s">
        <v>2230</v>
      </c>
      <c r="F794" t="s">
        <v>196</v>
      </c>
      <c r="G794" t="s">
        <v>764</v>
      </c>
      <c r="H794" t="s">
        <v>115</v>
      </c>
      <c r="I794" t="s">
        <v>23</v>
      </c>
      <c r="J794" s="1">
        <v>37950</v>
      </c>
      <c r="K794" t="s">
        <v>23</v>
      </c>
      <c r="L794" t="s">
        <v>2439</v>
      </c>
      <c r="M794" t="s">
        <v>2309</v>
      </c>
      <c r="N794">
        <v>7</v>
      </c>
      <c r="O794">
        <v>18199</v>
      </c>
    </row>
    <row r="795" spans="1:15" x14ac:dyDescent="0.35">
      <c r="A795" t="s">
        <v>15</v>
      </c>
      <c r="B795" t="s">
        <v>16</v>
      </c>
      <c r="C795" t="s">
        <v>61</v>
      </c>
      <c r="D795" t="s">
        <v>1632</v>
      </c>
      <c r="E795" t="s">
        <v>2440</v>
      </c>
      <c r="F795" t="s">
        <v>847</v>
      </c>
      <c r="G795" t="s">
        <v>48</v>
      </c>
      <c r="H795" t="s">
        <v>41</v>
      </c>
      <c r="I795" t="s">
        <v>23</v>
      </c>
      <c r="J795" s="1">
        <v>21300</v>
      </c>
      <c r="K795" t="s">
        <v>2441</v>
      </c>
      <c r="L795" t="s">
        <v>2442</v>
      </c>
      <c r="M795" t="s">
        <v>2443</v>
      </c>
      <c r="N795">
        <v>16</v>
      </c>
      <c r="O795">
        <v>33671.5</v>
      </c>
    </row>
    <row r="796" spans="1:15" x14ac:dyDescent="0.35">
      <c r="A796" t="s">
        <v>15</v>
      </c>
      <c r="B796" t="s">
        <v>16</v>
      </c>
      <c r="C796" t="s">
        <v>17</v>
      </c>
      <c r="D796" t="s">
        <v>1418</v>
      </c>
      <c r="E796" t="s">
        <v>2444</v>
      </c>
      <c r="F796" t="s">
        <v>78</v>
      </c>
      <c r="G796" t="s">
        <v>56</v>
      </c>
      <c r="H796" t="s">
        <v>41</v>
      </c>
      <c r="I796" t="s">
        <v>23</v>
      </c>
      <c r="J796" s="1">
        <v>96040</v>
      </c>
      <c r="K796" t="s">
        <v>23</v>
      </c>
      <c r="L796" t="s">
        <v>2445</v>
      </c>
      <c r="M796" t="s">
        <v>2446</v>
      </c>
      <c r="N796">
        <v>9</v>
      </c>
      <c r="O796">
        <v>80559</v>
      </c>
    </row>
    <row r="797" spans="1:15" x14ac:dyDescent="0.35">
      <c r="A797" t="s">
        <v>15</v>
      </c>
      <c r="B797" t="s">
        <v>16</v>
      </c>
      <c r="C797" t="s">
        <v>36</v>
      </c>
      <c r="D797" t="s">
        <v>88</v>
      </c>
      <c r="E797" t="s">
        <v>54</v>
      </c>
      <c r="F797" t="s">
        <v>341</v>
      </c>
      <c r="G797" t="s">
        <v>90</v>
      </c>
      <c r="H797" t="s">
        <v>41</v>
      </c>
      <c r="I797" t="s">
        <v>23</v>
      </c>
      <c r="J797" s="1">
        <v>5570</v>
      </c>
      <c r="K797" t="s">
        <v>363</v>
      </c>
      <c r="L797" t="s">
        <v>2447</v>
      </c>
      <c r="M797" t="s">
        <v>60</v>
      </c>
      <c r="N797">
        <v>2</v>
      </c>
      <c r="O797">
        <v>189974</v>
      </c>
    </row>
    <row r="798" spans="1:15" x14ac:dyDescent="0.35">
      <c r="A798" t="s">
        <v>15</v>
      </c>
      <c r="B798" t="s">
        <v>16</v>
      </c>
      <c r="C798" t="s">
        <v>36</v>
      </c>
      <c r="D798" t="s">
        <v>694</v>
      </c>
      <c r="E798" t="s">
        <v>695</v>
      </c>
      <c r="F798" t="s">
        <v>39</v>
      </c>
      <c r="G798" t="s">
        <v>580</v>
      </c>
      <c r="H798" t="s">
        <v>41</v>
      </c>
      <c r="I798" t="s">
        <v>23</v>
      </c>
      <c r="J798" s="1">
        <v>26040</v>
      </c>
      <c r="K798" t="s">
        <v>696</v>
      </c>
      <c r="L798" t="s">
        <v>2173</v>
      </c>
      <c r="M798" t="s">
        <v>698</v>
      </c>
      <c r="O798">
        <v>114169</v>
      </c>
    </row>
    <row r="799" spans="1:15" x14ac:dyDescent="0.35">
      <c r="A799" t="s">
        <v>15</v>
      </c>
      <c r="B799" t="s">
        <v>99</v>
      </c>
      <c r="C799" t="s">
        <v>82</v>
      </c>
      <c r="D799" t="s">
        <v>962</v>
      </c>
      <c r="E799" t="s">
        <v>2448</v>
      </c>
      <c r="F799" t="s">
        <v>125</v>
      </c>
      <c r="G799" t="s">
        <v>964</v>
      </c>
      <c r="H799" t="s">
        <v>41</v>
      </c>
      <c r="I799" t="s">
        <v>61</v>
      </c>
      <c r="J799" t="s">
        <v>58</v>
      </c>
      <c r="K799" t="s">
        <v>965</v>
      </c>
      <c r="L799" t="s">
        <v>1928</v>
      </c>
      <c r="M799" t="s">
        <v>110</v>
      </c>
      <c r="N799">
        <v>14</v>
      </c>
      <c r="O799">
        <v>25216</v>
      </c>
    </row>
    <row r="800" spans="1:15" x14ac:dyDescent="0.35">
      <c r="A800" t="s">
        <v>15</v>
      </c>
      <c r="B800" t="s">
        <v>99</v>
      </c>
      <c r="C800" t="s">
        <v>82</v>
      </c>
      <c r="D800" t="s">
        <v>962</v>
      </c>
      <c r="E800" t="s">
        <v>2449</v>
      </c>
      <c r="F800" t="s">
        <v>125</v>
      </c>
      <c r="G800" t="s">
        <v>964</v>
      </c>
      <c r="H800" t="s">
        <v>41</v>
      </c>
      <c r="I800" t="s">
        <v>61</v>
      </c>
      <c r="J800" t="s">
        <v>58</v>
      </c>
      <c r="K800" t="s">
        <v>965</v>
      </c>
      <c r="L800" t="s">
        <v>966</v>
      </c>
      <c r="M800" t="s">
        <v>110</v>
      </c>
      <c r="N800">
        <v>14</v>
      </c>
      <c r="O800">
        <v>25212</v>
      </c>
    </row>
    <row r="801" spans="1:15" x14ac:dyDescent="0.35">
      <c r="A801" t="s">
        <v>15</v>
      </c>
      <c r="B801" t="s">
        <v>16</v>
      </c>
      <c r="C801" t="s">
        <v>17</v>
      </c>
      <c r="D801" t="s">
        <v>1918</v>
      </c>
      <c r="E801" t="s">
        <v>2450</v>
      </c>
      <c r="F801" t="s">
        <v>125</v>
      </c>
      <c r="G801" t="s">
        <v>921</v>
      </c>
      <c r="H801" t="s">
        <v>41</v>
      </c>
      <c r="I801" t="s">
        <v>23</v>
      </c>
      <c r="J801" s="1">
        <v>27020</v>
      </c>
      <c r="K801" t="s">
        <v>23</v>
      </c>
      <c r="L801" t="s">
        <v>2451</v>
      </c>
      <c r="M801" t="s">
        <v>2452</v>
      </c>
      <c r="N801">
        <v>14</v>
      </c>
      <c r="O801">
        <v>147964.5</v>
      </c>
    </row>
    <row r="802" spans="1:15" x14ac:dyDescent="0.35">
      <c r="A802" t="s">
        <v>15</v>
      </c>
      <c r="B802" t="s">
        <v>27</v>
      </c>
      <c r="C802" t="s">
        <v>61</v>
      </c>
      <c r="D802" t="s">
        <v>864</v>
      </c>
      <c r="E802" t="s">
        <v>688</v>
      </c>
      <c r="F802" t="s">
        <v>85</v>
      </c>
      <c r="G802" t="s">
        <v>866</v>
      </c>
      <c r="H802" t="s">
        <v>41</v>
      </c>
      <c r="I802" t="s">
        <v>58</v>
      </c>
      <c r="J802">
        <v>180</v>
      </c>
      <c r="K802" t="s">
        <v>58</v>
      </c>
      <c r="L802" t="s">
        <v>2453</v>
      </c>
      <c r="M802" t="s">
        <v>2454</v>
      </c>
      <c r="N802">
        <v>6</v>
      </c>
      <c r="O802">
        <v>19776</v>
      </c>
    </row>
    <row r="803" spans="1:15" x14ac:dyDescent="0.35">
      <c r="A803" t="s">
        <v>15</v>
      </c>
      <c r="B803" t="s">
        <v>16</v>
      </c>
      <c r="C803" t="s">
        <v>36</v>
      </c>
      <c r="D803" t="s">
        <v>2238</v>
      </c>
      <c r="E803" t="s">
        <v>165</v>
      </c>
      <c r="F803" t="s">
        <v>196</v>
      </c>
      <c r="G803" t="s">
        <v>2239</v>
      </c>
      <c r="H803" t="s">
        <v>41</v>
      </c>
      <c r="I803" t="s">
        <v>23</v>
      </c>
      <c r="J803" s="1">
        <v>6040</v>
      </c>
      <c r="K803" t="s">
        <v>298</v>
      </c>
      <c r="L803" t="s">
        <v>2455</v>
      </c>
      <c r="M803" t="s">
        <v>475</v>
      </c>
      <c r="N803">
        <v>7</v>
      </c>
      <c r="O803">
        <v>212258.5</v>
      </c>
    </row>
    <row r="804" spans="1:15" x14ac:dyDescent="0.35">
      <c r="A804" t="s">
        <v>15</v>
      </c>
      <c r="B804" t="s">
        <v>16</v>
      </c>
      <c r="C804" t="s">
        <v>36</v>
      </c>
      <c r="D804" t="s">
        <v>1736</v>
      </c>
      <c r="E804" t="s">
        <v>743</v>
      </c>
      <c r="F804" t="s">
        <v>125</v>
      </c>
      <c r="G804" t="s">
        <v>412</v>
      </c>
      <c r="H804" t="s">
        <v>41</v>
      </c>
      <c r="I804" t="s">
        <v>23</v>
      </c>
      <c r="J804" s="1">
        <v>258800</v>
      </c>
      <c r="K804" t="s">
        <v>1970</v>
      </c>
      <c r="L804" t="s">
        <v>2456</v>
      </c>
      <c r="M804" t="s">
        <v>51</v>
      </c>
      <c r="N804">
        <v>14</v>
      </c>
      <c r="O804">
        <v>207325.5</v>
      </c>
    </row>
    <row r="805" spans="1:15" x14ac:dyDescent="0.35">
      <c r="A805" t="s">
        <v>15</v>
      </c>
      <c r="B805" t="s">
        <v>16</v>
      </c>
      <c r="C805" t="s">
        <v>17</v>
      </c>
      <c r="D805" t="s">
        <v>45</v>
      </c>
      <c r="E805" t="s">
        <v>2391</v>
      </c>
      <c r="F805" t="s">
        <v>431</v>
      </c>
      <c r="G805" t="s">
        <v>48</v>
      </c>
      <c r="H805" t="s">
        <v>41</v>
      </c>
      <c r="I805" t="s">
        <v>23</v>
      </c>
      <c r="J805" s="1">
        <v>34640</v>
      </c>
      <c r="K805" t="s">
        <v>2265</v>
      </c>
      <c r="L805" t="s">
        <v>2457</v>
      </c>
      <c r="M805" t="s">
        <v>2458</v>
      </c>
      <c r="N805">
        <v>21</v>
      </c>
      <c r="O805">
        <v>38153</v>
      </c>
    </row>
    <row r="806" spans="1:15" x14ac:dyDescent="0.35">
      <c r="A806" t="s">
        <v>15</v>
      </c>
      <c r="B806" t="s">
        <v>16</v>
      </c>
      <c r="C806" t="s">
        <v>61</v>
      </c>
      <c r="D806" t="s">
        <v>2222</v>
      </c>
      <c r="E806" t="s">
        <v>646</v>
      </c>
      <c r="F806" t="s">
        <v>244</v>
      </c>
      <c r="G806" t="s">
        <v>647</v>
      </c>
      <c r="H806" t="s">
        <v>41</v>
      </c>
      <c r="I806" t="s">
        <v>23</v>
      </c>
      <c r="J806" s="1">
        <v>36090</v>
      </c>
      <c r="K806" t="s">
        <v>23</v>
      </c>
      <c r="L806" t="s">
        <v>2459</v>
      </c>
      <c r="M806" t="s">
        <v>2460</v>
      </c>
      <c r="N806">
        <v>2</v>
      </c>
      <c r="O806">
        <v>116412.5</v>
      </c>
    </row>
    <row r="807" spans="1:15" x14ac:dyDescent="0.35">
      <c r="A807" t="s">
        <v>15</v>
      </c>
      <c r="B807" t="s">
        <v>16</v>
      </c>
      <c r="C807" t="s">
        <v>36</v>
      </c>
      <c r="D807" t="s">
        <v>864</v>
      </c>
      <c r="E807" t="s">
        <v>688</v>
      </c>
      <c r="F807" t="s">
        <v>312</v>
      </c>
      <c r="G807" t="s">
        <v>866</v>
      </c>
      <c r="H807" t="s">
        <v>41</v>
      </c>
      <c r="I807" t="s">
        <v>58</v>
      </c>
      <c r="J807">
        <v>180</v>
      </c>
      <c r="K807" t="s">
        <v>58</v>
      </c>
      <c r="L807" t="s">
        <v>2005</v>
      </c>
      <c r="M807" t="s">
        <v>2454</v>
      </c>
      <c r="N807">
        <v>4</v>
      </c>
      <c r="O807">
        <v>19777</v>
      </c>
    </row>
    <row r="808" spans="1:15" x14ac:dyDescent="0.35">
      <c r="A808" t="s">
        <v>15</v>
      </c>
      <c r="B808" t="s">
        <v>69</v>
      </c>
      <c r="C808" t="s">
        <v>61</v>
      </c>
      <c r="D808" t="s">
        <v>650</v>
      </c>
      <c r="E808" t="s">
        <v>2461</v>
      </c>
      <c r="F808" t="s">
        <v>856</v>
      </c>
      <c r="G808" t="s">
        <v>95</v>
      </c>
      <c r="H808" t="s">
        <v>57</v>
      </c>
      <c r="I808" t="s">
        <v>23</v>
      </c>
      <c r="J808" s="1">
        <v>274250</v>
      </c>
      <c r="K808" t="s">
        <v>2462</v>
      </c>
      <c r="L808" t="s">
        <v>2463</v>
      </c>
      <c r="M808" t="s">
        <v>2464</v>
      </c>
      <c r="N808">
        <v>23</v>
      </c>
      <c r="O808">
        <v>139286</v>
      </c>
    </row>
    <row r="809" spans="1:15" x14ac:dyDescent="0.35">
      <c r="A809" t="s">
        <v>15</v>
      </c>
      <c r="B809" t="s">
        <v>16</v>
      </c>
      <c r="C809" t="s">
        <v>61</v>
      </c>
      <c r="D809" t="s">
        <v>609</v>
      </c>
      <c r="E809" t="s">
        <v>63</v>
      </c>
      <c r="F809" t="s">
        <v>64</v>
      </c>
      <c r="G809" t="s">
        <v>610</v>
      </c>
      <c r="H809" t="s">
        <v>115</v>
      </c>
      <c r="I809" t="s">
        <v>58</v>
      </c>
      <c r="J809" s="1">
        <v>76030</v>
      </c>
      <c r="K809" t="s">
        <v>58</v>
      </c>
      <c r="L809" t="s">
        <v>2465</v>
      </c>
      <c r="M809" t="s">
        <v>2466</v>
      </c>
      <c r="N809">
        <v>3</v>
      </c>
      <c r="O809">
        <v>83059.5</v>
      </c>
    </row>
    <row r="810" spans="1:15" x14ac:dyDescent="0.35">
      <c r="A810" t="s">
        <v>15</v>
      </c>
      <c r="B810" t="s">
        <v>16</v>
      </c>
      <c r="C810" t="s">
        <v>36</v>
      </c>
      <c r="D810" t="s">
        <v>694</v>
      </c>
      <c r="E810" t="s">
        <v>2467</v>
      </c>
      <c r="F810" t="s">
        <v>39</v>
      </c>
      <c r="G810" t="s">
        <v>580</v>
      </c>
      <c r="H810" t="s">
        <v>41</v>
      </c>
      <c r="I810" t="s">
        <v>23</v>
      </c>
      <c r="J810" s="1">
        <v>26030</v>
      </c>
      <c r="K810" t="s">
        <v>2034</v>
      </c>
      <c r="L810" t="s">
        <v>2173</v>
      </c>
      <c r="M810" t="s">
        <v>2468</v>
      </c>
      <c r="O810">
        <v>114169</v>
      </c>
    </row>
    <row r="811" spans="1:15" x14ac:dyDescent="0.35">
      <c r="A811" t="s">
        <v>15</v>
      </c>
      <c r="B811" t="s">
        <v>16</v>
      </c>
      <c r="C811" t="s">
        <v>17</v>
      </c>
      <c r="D811" t="s">
        <v>257</v>
      </c>
      <c r="E811" t="s">
        <v>258</v>
      </c>
      <c r="F811" t="s">
        <v>196</v>
      </c>
      <c r="G811" t="s">
        <v>90</v>
      </c>
      <c r="H811" t="s">
        <v>41</v>
      </c>
      <c r="I811" t="s">
        <v>23</v>
      </c>
      <c r="J811" s="1">
        <v>5030</v>
      </c>
      <c r="K811" t="s">
        <v>2057</v>
      </c>
      <c r="L811" t="s">
        <v>2469</v>
      </c>
      <c r="M811" t="s">
        <v>60</v>
      </c>
      <c r="N811">
        <v>7</v>
      </c>
      <c r="O811">
        <v>152073.5</v>
      </c>
    </row>
    <row r="812" spans="1:15" x14ac:dyDescent="0.35">
      <c r="A812" t="s">
        <v>15</v>
      </c>
      <c r="B812" t="s">
        <v>99</v>
      </c>
      <c r="C812" t="s">
        <v>17</v>
      </c>
      <c r="D812" t="s">
        <v>45</v>
      </c>
      <c r="E812" t="s">
        <v>2470</v>
      </c>
      <c r="F812" t="s">
        <v>196</v>
      </c>
      <c r="G812" t="s">
        <v>48</v>
      </c>
      <c r="H812" t="s">
        <v>41</v>
      </c>
      <c r="I812" t="s">
        <v>23</v>
      </c>
      <c r="J812" s="1">
        <v>34640</v>
      </c>
      <c r="K812" t="s">
        <v>2471</v>
      </c>
      <c r="L812" t="s">
        <v>2472</v>
      </c>
      <c r="M812" t="s">
        <v>2473</v>
      </c>
      <c r="N812">
        <v>7</v>
      </c>
      <c r="O812">
        <v>34617</v>
      </c>
    </row>
    <row r="813" spans="1:15" x14ac:dyDescent="0.35">
      <c r="A813" t="s">
        <v>75</v>
      </c>
      <c r="B813" t="s">
        <v>16</v>
      </c>
      <c r="C813" t="s">
        <v>36</v>
      </c>
      <c r="D813" t="s">
        <v>410</v>
      </c>
      <c r="E813" t="s">
        <v>411</v>
      </c>
      <c r="F813" t="s">
        <v>196</v>
      </c>
      <c r="G813" t="s">
        <v>412</v>
      </c>
      <c r="H813" t="s">
        <v>41</v>
      </c>
      <c r="I813" t="s">
        <v>58</v>
      </c>
      <c r="J813">
        <v>900</v>
      </c>
      <c r="K813" t="s">
        <v>413</v>
      </c>
      <c r="L813" t="s">
        <v>2474</v>
      </c>
      <c r="M813" t="s">
        <v>60</v>
      </c>
      <c r="N813">
        <v>7</v>
      </c>
      <c r="O813">
        <v>209974.5</v>
      </c>
    </row>
    <row r="814" spans="1:15" x14ac:dyDescent="0.35">
      <c r="A814" t="s">
        <v>15</v>
      </c>
      <c r="B814" t="s">
        <v>16</v>
      </c>
      <c r="C814" t="s">
        <v>36</v>
      </c>
      <c r="D814" t="s">
        <v>1914</v>
      </c>
      <c r="E814" t="s">
        <v>128</v>
      </c>
      <c r="F814" t="s">
        <v>244</v>
      </c>
      <c r="G814" t="s">
        <v>946</v>
      </c>
      <c r="H814" t="s">
        <v>22</v>
      </c>
      <c r="I814" t="s">
        <v>23</v>
      </c>
      <c r="J814" s="1">
        <v>409050</v>
      </c>
      <c r="K814" t="s">
        <v>2269</v>
      </c>
      <c r="L814" t="s">
        <v>2475</v>
      </c>
      <c r="M814" t="s">
        <v>2476</v>
      </c>
      <c r="N814">
        <v>2</v>
      </c>
      <c r="O814">
        <v>44706.5</v>
      </c>
    </row>
    <row r="815" spans="1:15" x14ac:dyDescent="0.35">
      <c r="A815" t="s">
        <v>75</v>
      </c>
      <c r="B815" t="s">
        <v>69</v>
      </c>
      <c r="C815" t="s">
        <v>36</v>
      </c>
      <c r="D815" t="s">
        <v>2401</v>
      </c>
      <c r="E815" t="s">
        <v>2044</v>
      </c>
      <c r="F815" t="s">
        <v>125</v>
      </c>
      <c r="G815" t="s">
        <v>2403</v>
      </c>
      <c r="H815" t="s">
        <v>41</v>
      </c>
      <c r="I815" t="s">
        <v>58</v>
      </c>
      <c r="J815" s="1">
        <v>110010</v>
      </c>
      <c r="K815" t="s">
        <v>2477</v>
      </c>
      <c r="L815" t="s">
        <v>2478</v>
      </c>
      <c r="M815" t="s">
        <v>147</v>
      </c>
      <c r="N815">
        <v>14</v>
      </c>
      <c r="O815">
        <v>174677.5</v>
      </c>
    </row>
    <row r="816" spans="1:15" x14ac:dyDescent="0.35">
      <c r="A816" t="s">
        <v>15</v>
      </c>
      <c r="B816" t="s">
        <v>16</v>
      </c>
      <c r="C816" t="s">
        <v>17</v>
      </c>
      <c r="D816" t="s">
        <v>1600</v>
      </c>
      <c r="E816" t="s">
        <v>2479</v>
      </c>
      <c r="F816" t="s">
        <v>64</v>
      </c>
      <c r="G816" t="s">
        <v>1236</v>
      </c>
      <c r="H816" t="s">
        <v>41</v>
      </c>
      <c r="I816" t="s">
        <v>58</v>
      </c>
      <c r="J816" s="1">
        <v>263560</v>
      </c>
      <c r="K816" t="s">
        <v>2084</v>
      </c>
      <c r="L816" t="s">
        <v>2480</v>
      </c>
      <c r="M816" t="s">
        <v>2481</v>
      </c>
      <c r="N816">
        <v>3</v>
      </c>
      <c r="O816">
        <v>73983</v>
      </c>
    </row>
    <row r="817" spans="1:15" x14ac:dyDescent="0.35">
      <c r="A817" t="s">
        <v>15</v>
      </c>
      <c r="B817" t="s">
        <v>16</v>
      </c>
      <c r="C817" t="s">
        <v>61</v>
      </c>
      <c r="D817" t="s">
        <v>371</v>
      </c>
      <c r="E817" t="s">
        <v>2259</v>
      </c>
      <c r="F817" t="s">
        <v>39</v>
      </c>
      <c r="G817" t="s">
        <v>204</v>
      </c>
      <c r="H817" t="s">
        <v>22</v>
      </c>
      <c r="I817" t="s">
        <v>23</v>
      </c>
      <c r="J817" s="1">
        <v>865456</v>
      </c>
      <c r="K817" t="s">
        <v>2260</v>
      </c>
      <c r="L817" t="s">
        <v>2482</v>
      </c>
      <c r="M817" t="s">
        <v>1373</v>
      </c>
      <c r="O817">
        <v>168974</v>
      </c>
    </row>
    <row r="818" spans="1:15" x14ac:dyDescent="0.35">
      <c r="A818" t="s">
        <v>15</v>
      </c>
      <c r="B818" t="s">
        <v>16</v>
      </c>
      <c r="C818" t="s">
        <v>17</v>
      </c>
      <c r="D818" t="s">
        <v>480</v>
      </c>
      <c r="E818" t="s">
        <v>1214</v>
      </c>
      <c r="F818" t="s">
        <v>196</v>
      </c>
      <c r="G818" t="s">
        <v>482</v>
      </c>
      <c r="H818" t="s">
        <v>41</v>
      </c>
      <c r="I818" t="s">
        <v>58</v>
      </c>
      <c r="J818" s="1">
        <v>3800</v>
      </c>
      <c r="K818" t="s">
        <v>58</v>
      </c>
      <c r="L818" t="s">
        <v>643</v>
      </c>
      <c r="M818" t="s">
        <v>51</v>
      </c>
      <c r="N818">
        <v>7</v>
      </c>
      <c r="O818">
        <v>98643</v>
      </c>
    </row>
    <row r="819" spans="1:15" x14ac:dyDescent="0.35">
      <c r="A819" t="s">
        <v>15</v>
      </c>
      <c r="B819" t="s">
        <v>16</v>
      </c>
      <c r="C819" t="s">
        <v>36</v>
      </c>
      <c r="D819" t="s">
        <v>703</v>
      </c>
      <c r="E819" t="s">
        <v>94</v>
      </c>
      <c r="F819" t="s">
        <v>847</v>
      </c>
      <c r="G819" t="s">
        <v>169</v>
      </c>
      <c r="H819" t="s">
        <v>41</v>
      </c>
      <c r="I819" t="s">
        <v>23</v>
      </c>
      <c r="J819" s="1">
        <v>261010</v>
      </c>
      <c r="K819" t="s">
        <v>2483</v>
      </c>
      <c r="L819" t="s">
        <v>2484</v>
      </c>
      <c r="M819" t="s">
        <v>2019</v>
      </c>
      <c r="N819">
        <v>16</v>
      </c>
      <c r="O819">
        <v>118055.5</v>
      </c>
    </row>
    <row r="820" spans="1:15" x14ac:dyDescent="0.35">
      <c r="A820" t="s">
        <v>15</v>
      </c>
      <c r="B820" t="s">
        <v>16</v>
      </c>
      <c r="C820" t="s">
        <v>36</v>
      </c>
      <c r="D820" t="s">
        <v>742</v>
      </c>
      <c r="E820" t="s">
        <v>743</v>
      </c>
      <c r="F820" t="s">
        <v>125</v>
      </c>
      <c r="G820" t="s">
        <v>744</v>
      </c>
      <c r="H820" t="s">
        <v>41</v>
      </c>
      <c r="I820" t="s">
        <v>23</v>
      </c>
      <c r="J820" s="1">
        <v>182308</v>
      </c>
      <c r="K820" t="s">
        <v>745</v>
      </c>
      <c r="L820" t="s">
        <v>2485</v>
      </c>
      <c r="M820" t="s">
        <v>659</v>
      </c>
      <c r="N820">
        <v>14</v>
      </c>
      <c r="O820">
        <v>190163.5</v>
      </c>
    </row>
    <row r="821" spans="1:15" x14ac:dyDescent="0.35">
      <c r="A821" t="s">
        <v>15</v>
      </c>
      <c r="B821" t="s">
        <v>16</v>
      </c>
      <c r="C821" t="s">
        <v>61</v>
      </c>
      <c r="D821" t="s">
        <v>655</v>
      </c>
      <c r="E821" t="s">
        <v>1071</v>
      </c>
      <c r="F821" t="s">
        <v>244</v>
      </c>
      <c r="G821" t="s">
        <v>656</v>
      </c>
      <c r="H821" t="s">
        <v>115</v>
      </c>
      <c r="I821" t="s">
        <v>23</v>
      </c>
      <c r="J821" s="1">
        <v>300050</v>
      </c>
      <c r="K821" t="s">
        <v>2486</v>
      </c>
      <c r="L821" t="s">
        <v>2487</v>
      </c>
      <c r="M821" t="s">
        <v>1986</v>
      </c>
      <c r="N821">
        <v>2</v>
      </c>
      <c r="O821">
        <v>197554</v>
      </c>
    </row>
    <row r="822" spans="1:15" x14ac:dyDescent="0.35">
      <c r="A822" t="s">
        <v>15</v>
      </c>
      <c r="B822" t="s">
        <v>16</v>
      </c>
      <c r="C822" t="s">
        <v>82</v>
      </c>
      <c r="D822" t="s">
        <v>127</v>
      </c>
      <c r="E822" t="s">
        <v>1855</v>
      </c>
      <c r="F822" t="s">
        <v>196</v>
      </c>
      <c r="G822" t="s">
        <v>129</v>
      </c>
      <c r="H822" t="s">
        <v>41</v>
      </c>
      <c r="I822" t="s">
        <v>23</v>
      </c>
      <c r="J822" s="1">
        <v>132000</v>
      </c>
      <c r="K822" t="s">
        <v>130</v>
      </c>
      <c r="L822" t="s">
        <v>2488</v>
      </c>
      <c r="M822" t="s">
        <v>1858</v>
      </c>
      <c r="N822">
        <v>7</v>
      </c>
      <c r="O822">
        <v>52506</v>
      </c>
    </row>
    <row r="823" spans="1:15" x14ac:dyDescent="0.35">
      <c r="A823" t="s">
        <v>15</v>
      </c>
      <c r="B823" t="s">
        <v>16</v>
      </c>
      <c r="C823" t="s">
        <v>61</v>
      </c>
      <c r="D823" t="s">
        <v>2275</v>
      </c>
      <c r="E823" t="s">
        <v>340</v>
      </c>
      <c r="F823" t="s">
        <v>394</v>
      </c>
      <c r="G823" t="s">
        <v>2276</v>
      </c>
      <c r="H823" t="s">
        <v>41</v>
      </c>
      <c r="I823" t="s">
        <v>58</v>
      </c>
      <c r="J823">
        <v>590</v>
      </c>
      <c r="K823" t="s">
        <v>58</v>
      </c>
      <c r="L823" t="s">
        <v>2489</v>
      </c>
      <c r="M823" t="s">
        <v>2490</v>
      </c>
      <c r="N823">
        <v>11</v>
      </c>
      <c r="O823">
        <v>23239</v>
      </c>
    </row>
    <row r="824" spans="1:15" x14ac:dyDescent="0.35">
      <c r="A824" t="s">
        <v>15</v>
      </c>
      <c r="B824" t="s">
        <v>52</v>
      </c>
      <c r="C824" t="s">
        <v>82</v>
      </c>
      <c r="D824" t="s">
        <v>436</v>
      </c>
      <c r="E824" t="s">
        <v>84</v>
      </c>
      <c r="F824" t="s">
        <v>341</v>
      </c>
      <c r="G824" t="s">
        <v>90</v>
      </c>
      <c r="H824" t="s">
        <v>41</v>
      </c>
      <c r="I824" t="s">
        <v>23</v>
      </c>
      <c r="J824" s="1">
        <v>4110</v>
      </c>
      <c r="K824" t="s">
        <v>1800</v>
      </c>
      <c r="L824" t="s">
        <v>2491</v>
      </c>
      <c r="M824" t="s">
        <v>60</v>
      </c>
      <c r="N824">
        <v>2</v>
      </c>
      <c r="O824">
        <v>168738.5</v>
      </c>
    </row>
    <row r="825" spans="1:15" x14ac:dyDescent="0.35">
      <c r="A825" t="s">
        <v>15</v>
      </c>
      <c r="B825" t="s">
        <v>16</v>
      </c>
      <c r="C825" t="s">
        <v>17</v>
      </c>
      <c r="D825" t="s">
        <v>45</v>
      </c>
      <c r="E825" t="s">
        <v>335</v>
      </c>
      <c r="F825" t="s">
        <v>47</v>
      </c>
      <c r="G825" t="s">
        <v>48</v>
      </c>
      <c r="H825" t="s">
        <v>41</v>
      </c>
      <c r="I825" t="s">
        <v>23</v>
      </c>
      <c r="J825" s="1">
        <v>34680</v>
      </c>
      <c r="K825" t="s">
        <v>2492</v>
      </c>
      <c r="L825" t="s">
        <v>2493</v>
      </c>
      <c r="M825" t="s">
        <v>60</v>
      </c>
      <c r="N825">
        <v>8</v>
      </c>
      <c r="O825">
        <v>40368</v>
      </c>
    </row>
    <row r="826" spans="1:15" x14ac:dyDescent="0.35">
      <c r="A826" t="s">
        <v>15</v>
      </c>
      <c r="B826" t="s">
        <v>99</v>
      </c>
      <c r="C826" t="s">
        <v>17</v>
      </c>
      <c r="D826" t="s">
        <v>1918</v>
      </c>
      <c r="E826" t="s">
        <v>2494</v>
      </c>
      <c r="F826" t="s">
        <v>47</v>
      </c>
      <c r="G826" t="s">
        <v>921</v>
      </c>
      <c r="H826" t="s">
        <v>41</v>
      </c>
      <c r="I826" t="s">
        <v>23</v>
      </c>
      <c r="J826" s="1">
        <v>27010</v>
      </c>
      <c r="K826" t="s">
        <v>23</v>
      </c>
      <c r="L826" t="s">
        <v>2495</v>
      </c>
      <c r="M826" t="s">
        <v>2278</v>
      </c>
      <c r="N826">
        <v>8</v>
      </c>
      <c r="O826">
        <v>116654.5</v>
      </c>
    </row>
    <row r="827" spans="1:15" x14ac:dyDescent="0.35">
      <c r="A827" t="s">
        <v>15</v>
      </c>
      <c r="B827" t="s">
        <v>99</v>
      </c>
      <c r="C827" t="s">
        <v>36</v>
      </c>
      <c r="D827" t="s">
        <v>920</v>
      </c>
      <c r="E827" t="s">
        <v>2496</v>
      </c>
      <c r="F827" t="s">
        <v>39</v>
      </c>
      <c r="G827" t="s">
        <v>921</v>
      </c>
      <c r="H827" t="s">
        <v>22</v>
      </c>
      <c r="I827" t="s">
        <v>23</v>
      </c>
      <c r="J827" s="1">
        <v>55090</v>
      </c>
      <c r="K827" t="s">
        <v>2497</v>
      </c>
      <c r="L827" t="s">
        <v>2498</v>
      </c>
      <c r="M827" t="s">
        <v>1726</v>
      </c>
      <c r="O827">
        <v>170379</v>
      </c>
    </row>
    <row r="828" spans="1:15" x14ac:dyDescent="0.35">
      <c r="A828" t="s">
        <v>15</v>
      </c>
      <c r="B828" t="s">
        <v>16</v>
      </c>
      <c r="C828" t="s">
        <v>36</v>
      </c>
      <c r="D828" t="s">
        <v>18</v>
      </c>
      <c r="E828" t="s">
        <v>2499</v>
      </c>
      <c r="F828" t="s">
        <v>1149</v>
      </c>
      <c r="G828" t="s">
        <v>21</v>
      </c>
      <c r="H828" t="s">
        <v>22</v>
      </c>
      <c r="I828" t="s">
        <v>23</v>
      </c>
      <c r="J828" t="s">
        <v>2500</v>
      </c>
      <c r="K828" t="s">
        <v>23</v>
      </c>
      <c r="L828" t="s">
        <v>2501</v>
      </c>
      <c r="M828" t="s">
        <v>2127</v>
      </c>
      <c r="N828">
        <v>18</v>
      </c>
      <c r="O828">
        <v>124193.5</v>
      </c>
    </row>
    <row r="829" spans="1:15" x14ac:dyDescent="0.35">
      <c r="A829" t="s">
        <v>75</v>
      </c>
      <c r="B829" t="s">
        <v>16</v>
      </c>
      <c r="C829" t="s">
        <v>61</v>
      </c>
      <c r="D829" t="s">
        <v>1802</v>
      </c>
      <c r="E829" t="s">
        <v>128</v>
      </c>
      <c r="F829" t="s">
        <v>47</v>
      </c>
      <c r="G829" t="s">
        <v>1803</v>
      </c>
      <c r="H829" t="s">
        <v>41</v>
      </c>
      <c r="I829" t="s">
        <v>23</v>
      </c>
      <c r="J829" s="1">
        <v>492205</v>
      </c>
      <c r="K829" t="s">
        <v>2502</v>
      </c>
      <c r="L829" t="s">
        <v>2503</v>
      </c>
      <c r="M829" t="s">
        <v>874</v>
      </c>
      <c r="N829">
        <v>8</v>
      </c>
      <c r="O829">
        <v>20441</v>
      </c>
    </row>
    <row r="830" spans="1:15" x14ac:dyDescent="0.35">
      <c r="A830" t="s">
        <v>15</v>
      </c>
      <c r="B830" t="s">
        <v>16</v>
      </c>
      <c r="C830" t="s">
        <v>17</v>
      </c>
      <c r="D830" t="s">
        <v>45</v>
      </c>
      <c r="E830" t="s">
        <v>2504</v>
      </c>
      <c r="F830" t="s">
        <v>64</v>
      </c>
      <c r="G830" t="s">
        <v>48</v>
      </c>
      <c r="H830" t="s">
        <v>41</v>
      </c>
      <c r="I830" t="s">
        <v>23</v>
      </c>
      <c r="J830" s="1">
        <v>34690</v>
      </c>
      <c r="K830" t="s">
        <v>2505</v>
      </c>
      <c r="L830" t="s">
        <v>2506</v>
      </c>
      <c r="M830" t="s">
        <v>2507</v>
      </c>
      <c r="N830">
        <v>3</v>
      </c>
      <c r="O830">
        <v>154712</v>
      </c>
    </row>
    <row r="831" spans="1:15" x14ac:dyDescent="0.35">
      <c r="A831" t="s">
        <v>15</v>
      </c>
      <c r="B831" t="s">
        <v>99</v>
      </c>
      <c r="C831" t="s">
        <v>17</v>
      </c>
      <c r="D831" t="s">
        <v>1918</v>
      </c>
      <c r="E831" t="s">
        <v>1919</v>
      </c>
      <c r="F831" t="s">
        <v>85</v>
      </c>
      <c r="G831" t="s">
        <v>921</v>
      </c>
      <c r="H831" t="s">
        <v>41</v>
      </c>
      <c r="I831" t="s">
        <v>23</v>
      </c>
      <c r="J831" s="1">
        <v>27030</v>
      </c>
      <c r="K831" t="s">
        <v>23</v>
      </c>
      <c r="L831" t="s">
        <v>2508</v>
      </c>
      <c r="M831" t="s">
        <v>1921</v>
      </c>
      <c r="N831">
        <v>6</v>
      </c>
      <c r="O831">
        <v>116656.5</v>
      </c>
    </row>
    <row r="832" spans="1:15" x14ac:dyDescent="0.35">
      <c r="A832" t="s">
        <v>15</v>
      </c>
      <c r="B832" t="s">
        <v>16</v>
      </c>
      <c r="C832" t="s">
        <v>36</v>
      </c>
      <c r="D832" t="s">
        <v>18</v>
      </c>
      <c r="E832" t="s">
        <v>2049</v>
      </c>
      <c r="F832" t="s">
        <v>20</v>
      </c>
      <c r="G832" t="s">
        <v>21</v>
      </c>
      <c r="H832" t="s">
        <v>22</v>
      </c>
      <c r="I832" t="s">
        <v>23</v>
      </c>
      <c r="J832" t="s">
        <v>2500</v>
      </c>
      <c r="K832" t="s">
        <v>23</v>
      </c>
      <c r="L832" t="s">
        <v>2509</v>
      </c>
      <c r="M832" t="s">
        <v>2510</v>
      </c>
      <c r="N832">
        <v>17</v>
      </c>
      <c r="O832">
        <v>161453</v>
      </c>
    </row>
    <row r="833" spans="1:15" x14ac:dyDescent="0.35">
      <c r="A833" t="s">
        <v>15</v>
      </c>
      <c r="B833" t="s">
        <v>16</v>
      </c>
      <c r="C833" t="s">
        <v>36</v>
      </c>
      <c r="D833" t="s">
        <v>18</v>
      </c>
      <c r="E833" t="s">
        <v>2049</v>
      </c>
      <c r="F833" t="s">
        <v>20</v>
      </c>
      <c r="G833" t="s">
        <v>21</v>
      </c>
      <c r="H833" t="s">
        <v>22</v>
      </c>
      <c r="I833" t="s">
        <v>23</v>
      </c>
      <c r="J833" t="s">
        <v>2500</v>
      </c>
      <c r="K833" t="s">
        <v>23</v>
      </c>
      <c r="L833" t="s">
        <v>2511</v>
      </c>
      <c r="M833" t="s">
        <v>2510</v>
      </c>
      <c r="N833">
        <v>17</v>
      </c>
      <c r="O833">
        <v>197330</v>
      </c>
    </row>
    <row r="834" spans="1:15" x14ac:dyDescent="0.35">
      <c r="A834" t="s">
        <v>15</v>
      </c>
      <c r="B834" t="s">
        <v>99</v>
      </c>
      <c r="C834" t="s">
        <v>36</v>
      </c>
      <c r="D834" t="s">
        <v>1736</v>
      </c>
      <c r="E834" t="s">
        <v>2512</v>
      </c>
      <c r="F834" t="s">
        <v>399</v>
      </c>
      <c r="G834" t="s">
        <v>412</v>
      </c>
      <c r="H834" t="s">
        <v>41</v>
      </c>
      <c r="I834" t="s">
        <v>23</v>
      </c>
      <c r="J834" s="1">
        <v>258780</v>
      </c>
      <c r="K834" t="s">
        <v>2513</v>
      </c>
      <c r="L834" t="s">
        <v>2514</v>
      </c>
      <c r="M834" t="s">
        <v>51</v>
      </c>
      <c r="N834">
        <v>5</v>
      </c>
      <c r="O834">
        <v>188588.5</v>
      </c>
    </row>
    <row r="835" spans="1:15" x14ac:dyDescent="0.35">
      <c r="A835" t="s">
        <v>15</v>
      </c>
      <c r="B835" t="s">
        <v>16</v>
      </c>
      <c r="C835" t="s">
        <v>36</v>
      </c>
      <c r="D835" t="s">
        <v>371</v>
      </c>
      <c r="E835" t="s">
        <v>2515</v>
      </c>
      <c r="F835" t="s">
        <v>1149</v>
      </c>
      <c r="G835" t="s">
        <v>204</v>
      </c>
      <c r="H835" t="s">
        <v>22</v>
      </c>
      <c r="I835" t="s">
        <v>23</v>
      </c>
      <c r="J835" s="1">
        <v>865436</v>
      </c>
      <c r="K835" t="s">
        <v>2516</v>
      </c>
      <c r="L835" t="s">
        <v>2517</v>
      </c>
      <c r="M835" t="s">
        <v>2518</v>
      </c>
      <c r="N835">
        <v>18</v>
      </c>
      <c r="O835">
        <v>160991</v>
      </c>
    </row>
    <row r="836" spans="1:15" x14ac:dyDescent="0.35">
      <c r="A836" t="s">
        <v>15</v>
      </c>
      <c r="B836" t="s">
        <v>16</v>
      </c>
      <c r="C836" t="s">
        <v>36</v>
      </c>
      <c r="D836" t="s">
        <v>371</v>
      </c>
      <c r="E836" t="s">
        <v>2519</v>
      </c>
      <c r="F836" t="s">
        <v>39</v>
      </c>
      <c r="G836" t="s">
        <v>204</v>
      </c>
      <c r="H836" t="s">
        <v>22</v>
      </c>
      <c r="I836" t="s">
        <v>23</v>
      </c>
      <c r="J836" s="1">
        <v>865466</v>
      </c>
      <c r="K836" t="s">
        <v>2520</v>
      </c>
      <c r="L836" t="s">
        <v>2521</v>
      </c>
      <c r="M836" t="s">
        <v>1512</v>
      </c>
      <c r="O836">
        <v>164677.5</v>
      </c>
    </row>
    <row r="837" spans="1:15" x14ac:dyDescent="0.35">
      <c r="A837" t="s">
        <v>75</v>
      </c>
      <c r="B837" t="s">
        <v>99</v>
      </c>
      <c r="C837" t="s">
        <v>61</v>
      </c>
      <c r="D837" t="s">
        <v>1802</v>
      </c>
      <c r="E837" t="s">
        <v>128</v>
      </c>
      <c r="F837" t="s">
        <v>30</v>
      </c>
      <c r="G837" t="s">
        <v>1803</v>
      </c>
      <c r="H837" t="s">
        <v>41</v>
      </c>
      <c r="I837" t="s">
        <v>23</v>
      </c>
      <c r="J837" s="1">
        <v>492195</v>
      </c>
      <c r="K837" t="s">
        <v>2522</v>
      </c>
      <c r="L837" t="s">
        <v>2523</v>
      </c>
      <c r="M837" t="s">
        <v>659</v>
      </c>
      <c r="N837">
        <v>15</v>
      </c>
      <c r="O837">
        <v>18492.5</v>
      </c>
    </row>
    <row r="838" spans="1:15" x14ac:dyDescent="0.35">
      <c r="A838" t="s">
        <v>15</v>
      </c>
      <c r="B838" t="s">
        <v>16</v>
      </c>
      <c r="C838" t="s">
        <v>36</v>
      </c>
      <c r="D838" t="s">
        <v>18</v>
      </c>
      <c r="E838" t="s">
        <v>2049</v>
      </c>
      <c r="F838" t="s">
        <v>196</v>
      </c>
      <c r="G838" t="s">
        <v>21</v>
      </c>
      <c r="H838" t="s">
        <v>22</v>
      </c>
      <c r="I838" t="s">
        <v>23</v>
      </c>
      <c r="J838" t="s">
        <v>2500</v>
      </c>
      <c r="K838" t="s">
        <v>23</v>
      </c>
      <c r="L838" t="s">
        <v>2524</v>
      </c>
      <c r="M838" t="s">
        <v>2051</v>
      </c>
      <c r="N838">
        <v>7</v>
      </c>
      <c r="O838">
        <v>161457</v>
      </c>
    </row>
    <row r="839" spans="1:15" x14ac:dyDescent="0.35">
      <c r="A839" t="s">
        <v>15</v>
      </c>
      <c r="B839" t="s">
        <v>16</v>
      </c>
      <c r="C839" t="s">
        <v>17</v>
      </c>
      <c r="D839" t="s">
        <v>1918</v>
      </c>
      <c r="E839" t="s">
        <v>272</v>
      </c>
      <c r="F839" t="s">
        <v>89</v>
      </c>
      <c r="G839" t="s">
        <v>921</v>
      </c>
      <c r="H839" t="s">
        <v>41</v>
      </c>
      <c r="I839" t="s">
        <v>23</v>
      </c>
      <c r="J839" s="1">
        <v>27060</v>
      </c>
      <c r="K839" t="s">
        <v>23</v>
      </c>
      <c r="L839" t="s">
        <v>2525</v>
      </c>
      <c r="M839" t="s">
        <v>1636</v>
      </c>
      <c r="O839">
        <v>149036.5</v>
      </c>
    </row>
    <row r="840" spans="1:15" x14ac:dyDescent="0.35">
      <c r="A840" t="s">
        <v>15</v>
      </c>
      <c r="B840" t="s">
        <v>99</v>
      </c>
      <c r="C840" t="s">
        <v>17</v>
      </c>
      <c r="D840" t="s">
        <v>920</v>
      </c>
      <c r="E840" t="s">
        <v>2526</v>
      </c>
      <c r="F840" t="s">
        <v>125</v>
      </c>
      <c r="G840" t="s">
        <v>921</v>
      </c>
      <c r="H840" t="s">
        <v>22</v>
      </c>
      <c r="I840" t="s">
        <v>23</v>
      </c>
      <c r="J840" s="1">
        <v>55110</v>
      </c>
      <c r="K840" t="s">
        <v>2527</v>
      </c>
      <c r="L840" t="s">
        <v>2528</v>
      </c>
      <c r="M840" t="s">
        <v>1726</v>
      </c>
      <c r="N840">
        <v>14</v>
      </c>
      <c r="O840">
        <v>156208</v>
      </c>
    </row>
    <row r="841" spans="1:15" x14ac:dyDescent="0.35">
      <c r="A841" t="s">
        <v>15</v>
      </c>
      <c r="B841" t="s">
        <v>16</v>
      </c>
      <c r="C841" t="s">
        <v>17</v>
      </c>
      <c r="D841" t="s">
        <v>45</v>
      </c>
      <c r="E841" t="s">
        <v>776</v>
      </c>
      <c r="F841" t="s">
        <v>39</v>
      </c>
      <c r="G841" t="s">
        <v>48</v>
      </c>
      <c r="H841" t="s">
        <v>41</v>
      </c>
      <c r="I841" t="s">
        <v>23</v>
      </c>
      <c r="J841" s="1">
        <v>34670</v>
      </c>
      <c r="K841" t="s">
        <v>2492</v>
      </c>
      <c r="L841" t="s">
        <v>2529</v>
      </c>
      <c r="M841" t="s">
        <v>60</v>
      </c>
      <c r="O841">
        <v>190821.5</v>
      </c>
    </row>
    <row r="842" spans="1:15" x14ac:dyDescent="0.35">
      <c r="A842" t="s">
        <v>15</v>
      </c>
      <c r="B842" t="s">
        <v>16</v>
      </c>
      <c r="C842" t="s">
        <v>36</v>
      </c>
      <c r="D842" t="s">
        <v>1736</v>
      </c>
      <c r="E842" t="s">
        <v>2530</v>
      </c>
      <c r="F842" t="s">
        <v>30</v>
      </c>
      <c r="G842" t="s">
        <v>412</v>
      </c>
      <c r="H842" t="s">
        <v>41</v>
      </c>
      <c r="I842" t="s">
        <v>23</v>
      </c>
      <c r="J842" s="1">
        <v>258790</v>
      </c>
      <c r="K842" t="s">
        <v>2531</v>
      </c>
      <c r="L842" t="s">
        <v>2532</v>
      </c>
      <c r="M842" t="s">
        <v>51</v>
      </c>
      <c r="N842">
        <v>15</v>
      </c>
      <c r="O842">
        <v>251609</v>
      </c>
    </row>
    <row r="843" spans="1:15" x14ac:dyDescent="0.35">
      <c r="A843" t="s">
        <v>15</v>
      </c>
      <c r="B843" t="s">
        <v>27</v>
      </c>
      <c r="C843" t="s">
        <v>36</v>
      </c>
      <c r="D843" t="s">
        <v>601</v>
      </c>
      <c r="E843" t="s">
        <v>2533</v>
      </c>
      <c r="F843" t="s">
        <v>39</v>
      </c>
      <c r="G843" t="s">
        <v>65</v>
      </c>
      <c r="H843" t="s">
        <v>57</v>
      </c>
      <c r="I843" t="s">
        <v>23</v>
      </c>
      <c r="J843" s="1">
        <v>290790</v>
      </c>
      <c r="K843" t="s">
        <v>2534</v>
      </c>
      <c r="L843" t="s">
        <v>2535</v>
      </c>
      <c r="M843" t="s">
        <v>2536</v>
      </c>
      <c r="O843">
        <v>137997</v>
      </c>
    </row>
    <row r="844" spans="1:15" x14ac:dyDescent="0.35">
      <c r="A844" t="s">
        <v>15</v>
      </c>
      <c r="B844" t="s">
        <v>16</v>
      </c>
      <c r="C844" t="s">
        <v>61</v>
      </c>
      <c r="D844" t="s">
        <v>371</v>
      </c>
      <c r="E844" t="s">
        <v>128</v>
      </c>
      <c r="F844" t="s">
        <v>431</v>
      </c>
      <c r="G844" t="s">
        <v>204</v>
      </c>
      <c r="H844" t="s">
        <v>22</v>
      </c>
      <c r="I844" t="s">
        <v>23</v>
      </c>
      <c r="J844" s="1">
        <v>865416</v>
      </c>
      <c r="K844" t="s">
        <v>2537</v>
      </c>
      <c r="L844" t="s">
        <v>2538</v>
      </c>
      <c r="M844" t="s">
        <v>1373</v>
      </c>
      <c r="N844">
        <v>21</v>
      </c>
      <c r="O844">
        <v>70044</v>
      </c>
    </row>
    <row r="845" spans="1:15" x14ac:dyDescent="0.35">
      <c r="A845" t="s">
        <v>15</v>
      </c>
      <c r="B845" t="s">
        <v>99</v>
      </c>
      <c r="C845" t="s">
        <v>36</v>
      </c>
      <c r="D845" t="s">
        <v>920</v>
      </c>
      <c r="E845" t="s">
        <v>2539</v>
      </c>
      <c r="F845" t="s">
        <v>39</v>
      </c>
      <c r="G845" t="s">
        <v>921</v>
      </c>
      <c r="H845" t="s">
        <v>22</v>
      </c>
      <c r="I845" t="s">
        <v>23</v>
      </c>
      <c r="J845" s="1">
        <v>55130</v>
      </c>
      <c r="K845" t="s">
        <v>2540</v>
      </c>
      <c r="L845" t="s">
        <v>2541</v>
      </c>
      <c r="M845" t="s">
        <v>1726</v>
      </c>
      <c r="O845">
        <v>170373</v>
      </c>
    </row>
    <row r="846" spans="1:15" x14ac:dyDescent="0.35">
      <c r="A846" t="s">
        <v>15</v>
      </c>
      <c r="B846" t="s">
        <v>16</v>
      </c>
      <c r="C846" t="s">
        <v>61</v>
      </c>
      <c r="D846" t="s">
        <v>1531</v>
      </c>
      <c r="E846" t="s">
        <v>94</v>
      </c>
      <c r="F846" t="s">
        <v>39</v>
      </c>
      <c r="G846" t="s">
        <v>412</v>
      </c>
      <c r="H846" t="s">
        <v>41</v>
      </c>
      <c r="I846" t="s">
        <v>23</v>
      </c>
      <c r="J846" s="1">
        <v>17050</v>
      </c>
      <c r="K846" t="s">
        <v>2542</v>
      </c>
      <c r="L846" t="s">
        <v>2543</v>
      </c>
      <c r="M846" t="s">
        <v>475</v>
      </c>
      <c r="O846">
        <v>174789</v>
      </c>
    </row>
    <row r="847" spans="1:15" x14ac:dyDescent="0.35">
      <c r="A847" t="s">
        <v>15</v>
      </c>
      <c r="B847" t="s">
        <v>16</v>
      </c>
      <c r="C847" t="s">
        <v>61</v>
      </c>
      <c r="D847" t="s">
        <v>1600</v>
      </c>
      <c r="E847" t="s">
        <v>2230</v>
      </c>
      <c r="F847" t="s">
        <v>39</v>
      </c>
      <c r="G847" t="s">
        <v>1236</v>
      </c>
      <c r="H847" t="s">
        <v>41</v>
      </c>
      <c r="I847" t="s">
        <v>58</v>
      </c>
      <c r="J847" s="1">
        <v>263610</v>
      </c>
      <c r="K847" t="s">
        <v>2544</v>
      </c>
      <c r="L847" t="s">
        <v>2545</v>
      </c>
      <c r="M847" t="s">
        <v>2546</v>
      </c>
      <c r="O847">
        <v>7103.5</v>
      </c>
    </row>
    <row r="848" spans="1:15" x14ac:dyDescent="0.35">
      <c r="A848" t="s">
        <v>15</v>
      </c>
      <c r="B848" t="s">
        <v>16</v>
      </c>
      <c r="C848" t="s">
        <v>36</v>
      </c>
      <c r="D848" t="s">
        <v>1802</v>
      </c>
      <c r="E848" t="s">
        <v>732</v>
      </c>
      <c r="F848" t="s">
        <v>203</v>
      </c>
      <c r="G848" t="s">
        <v>1803</v>
      </c>
      <c r="H848" t="s">
        <v>41</v>
      </c>
      <c r="I848" t="s">
        <v>23</v>
      </c>
      <c r="J848" s="1">
        <v>492255</v>
      </c>
      <c r="K848" t="s">
        <v>2547</v>
      </c>
      <c r="L848" t="s">
        <v>2548</v>
      </c>
      <c r="M848" t="s">
        <v>200</v>
      </c>
      <c r="N848">
        <v>25</v>
      </c>
      <c r="O848">
        <v>186612.5</v>
      </c>
    </row>
    <row r="849" spans="1:15" x14ac:dyDescent="0.35">
      <c r="A849" t="s">
        <v>15</v>
      </c>
      <c r="B849" t="s">
        <v>27</v>
      </c>
      <c r="C849" t="s">
        <v>36</v>
      </c>
      <c r="D849" t="s">
        <v>664</v>
      </c>
      <c r="E849" t="s">
        <v>855</v>
      </c>
      <c r="F849" t="s">
        <v>277</v>
      </c>
      <c r="G849" t="s">
        <v>79</v>
      </c>
      <c r="H849" t="s">
        <v>41</v>
      </c>
      <c r="I849" t="s">
        <v>23</v>
      </c>
      <c r="J849" s="1">
        <v>94570</v>
      </c>
      <c r="K849" t="s">
        <v>2549</v>
      </c>
      <c r="L849" t="s">
        <v>2550</v>
      </c>
      <c r="M849" t="s">
        <v>118</v>
      </c>
      <c r="N849">
        <v>12</v>
      </c>
      <c r="O849">
        <v>224010</v>
      </c>
    </row>
    <row r="850" spans="1:15" x14ac:dyDescent="0.35">
      <c r="A850" t="s">
        <v>15</v>
      </c>
      <c r="B850" t="s">
        <v>27</v>
      </c>
      <c r="C850" t="s">
        <v>61</v>
      </c>
      <c r="D850" t="s">
        <v>601</v>
      </c>
      <c r="E850" t="s">
        <v>1814</v>
      </c>
      <c r="F850" t="s">
        <v>47</v>
      </c>
      <c r="G850" t="s">
        <v>65</v>
      </c>
      <c r="H850" t="s">
        <v>57</v>
      </c>
      <c r="I850" t="s">
        <v>23</v>
      </c>
      <c r="J850" s="1">
        <v>290800</v>
      </c>
      <c r="K850" t="s">
        <v>2551</v>
      </c>
      <c r="L850" t="s">
        <v>2552</v>
      </c>
      <c r="M850" t="s">
        <v>2553</v>
      </c>
      <c r="N850">
        <v>8</v>
      </c>
      <c r="O850">
        <v>116803</v>
      </c>
    </row>
    <row r="851" spans="1:15" x14ac:dyDescent="0.35">
      <c r="A851" t="s">
        <v>15</v>
      </c>
      <c r="B851" t="s">
        <v>16</v>
      </c>
      <c r="C851" t="s">
        <v>36</v>
      </c>
      <c r="D851" t="s">
        <v>18</v>
      </c>
      <c r="E851" t="s">
        <v>2125</v>
      </c>
      <c r="F851" t="s">
        <v>30</v>
      </c>
      <c r="G851" t="s">
        <v>21</v>
      </c>
      <c r="H851" t="s">
        <v>22</v>
      </c>
      <c r="I851" t="s">
        <v>23</v>
      </c>
      <c r="J851" t="s">
        <v>2500</v>
      </c>
      <c r="K851" t="s">
        <v>23</v>
      </c>
      <c r="L851" t="s">
        <v>2554</v>
      </c>
      <c r="M851" t="s">
        <v>2555</v>
      </c>
      <c r="N851">
        <v>15</v>
      </c>
      <c r="O851">
        <v>151790.5</v>
      </c>
    </row>
    <row r="852" spans="1:15" x14ac:dyDescent="0.35">
      <c r="A852" t="s">
        <v>15</v>
      </c>
      <c r="B852" t="s">
        <v>16</v>
      </c>
      <c r="C852" t="s">
        <v>61</v>
      </c>
      <c r="D852" t="s">
        <v>1531</v>
      </c>
      <c r="E852" t="s">
        <v>743</v>
      </c>
      <c r="F852" t="s">
        <v>30</v>
      </c>
      <c r="G852" t="s">
        <v>412</v>
      </c>
      <c r="H852" t="s">
        <v>41</v>
      </c>
      <c r="I852" t="s">
        <v>23</v>
      </c>
      <c r="J852" s="1">
        <v>17030</v>
      </c>
      <c r="K852" t="s">
        <v>2556</v>
      </c>
      <c r="L852" t="s">
        <v>2557</v>
      </c>
      <c r="M852" t="s">
        <v>2254</v>
      </c>
      <c r="N852">
        <v>15</v>
      </c>
      <c r="O852">
        <v>170195</v>
      </c>
    </row>
    <row r="853" spans="1:15" x14ac:dyDescent="0.35">
      <c r="A853" t="s">
        <v>15</v>
      </c>
      <c r="B853" t="s">
        <v>16</v>
      </c>
      <c r="C853" t="s">
        <v>61</v>
      </c>
      <c r="D853" t="s">
        <v>371</v>
      </c>
      <c r="E853" t="s">
        <v>688</v>
      </c>
      <c r="F853" t="s">
        <v>39</v>
      </c>
      <c r="G853" t="s">
        <v>204</v>
      </c>
      <c r="H853" t="s">
        <v>22</v>
      </c>
      <c r="I853" t="s">
        <v>23</v>
      </c>
      <c r="J853" s="1">
        <v>865476</v>
      </c>
      <c r="K853" t="s">
        <v>2558</v>
      </c>
      <c r="L853" t="s">
        <v>2559</v>
      </c>
      <c r="M853" t="s">
        <v>2560</v>
      </c>
      <c r="O853">
        <v>72043.5</v>
      </c>
    </row>
    <row r="854" spans="1:15" x14ac:dyDescent="0.35">
      <c r="A854" t="s">
        <v>15</v>
      </c>
      <c r="B854" t="s">
        <v>27</v>
      </c>
      <c r="C854" t="s">
        <v>36</v>
      </c>
      <c r="D854" t="s">
        <v>664</v>
      </c>
      <c r="E854" t="s">
        <v>228</v>
      </c>
      <c r="F854" t="s">
        <v>399</v>
      </c>
      <c r="G854" t="s">
        <v>79</v>
      </c>
      <c r="H854" t="s">
        <v>41</v>
      </c>
      <c r="I854" t="s">
        <v>23</v>
      </c>
      <c r="J854" s="1">
        <v>94580</v>
      </c>
      <c r="K854" t="s">
        <v>2561</v>
      </c>
      <c r="L854" t="s">
        <v>2562</v>
      </c>
      <c r="M854" t="s">
        <v>81</v>
      </c>
      <c r="N854">
        <v>5</v>
      </c>
      <c r="O854">
        <v>260807</v>
      </c>
    </row>
    <row r="855" spans="1:15" x14ac:dyDescent="0.35">
      <c r="A855" t="s">
        <v>75</v>
      </c>
      <c r="B855" t="s">
        <v>16</v>
      </c>
      <c r="C855" t="s">
        <v>61</v>
      </c>
      <c r="D855" t="s">
        <v>1802</v>
      </c>
      <c r="E855" t="s">
        <v>128</v>
      </c>
      <c r="F855" t="s">
        <v>47</v>
      </c>
      <c r="G855" t="s">
        <v>1803</v>
      </c>
      <c r="H855" t="s">
        <v>41</v>
      </c>
      <c r="I855" t="s">
        <v>23</v>
      </c>
      <c r="J855" s="1">
        <v>492215</v>
      </c>
      <c r="K855" t="s">
        <v>2563</v>
      </c>
      <c r="L855" t="s">
        <v>2564</v>
      </c>
      <c r="M855" t="s">
        <v>874</v>
      </c>
      <c r="N855">
        <v>8</v>
      </c>
      <c r="O855">
        <v>20445</v>
      </c>
    </row>
    <row r="856" spans="1:15" x14ac:dyDescent="0.35">
      <c r="A856" t="s">
        <v>15</v>
      </c>
      <c r="B856" t="s">
        <v>16</v>
      </c>
      <c r="C856" t="s">
        <v>17</v>
      </c>
      <c r="D856" t="s">
        <v>18</v>
      </c>
      <c r="E856" t="s">
        <v>2565</v>
      </c>
      <c r="F856" t="s">
        <v>30</v>
      </c>
      <c r="G856" t="s">
        <v>21</v>
      </c>
      <c r="H856" t="s">
        <v>22</v>
      </c>
      <c r="I856" t="s">
        <v>23</v>
      </c>
      <c r="J856" t="s">
        <v>2500</v>
      </c>
      <c r="K856" t="s">
        <v>23</v>
      </c>
      <c r="L856" t="s">
        <v>2566</v>
      </c>
      <c r="M856" t="s">
        <v>2567</v>
      </c>
      <c r="N856">
        <v>15</v>
      </c>
      <c r="O856">
        <v>215268.5</v>
      </c>
    </row>
    <row r="857" spans="1:15" x14ac:dyDescent="0.35">
      <c r="A857" t="s">
        <v>75</v>
      </c>
      <c r="B857" t="s">
        <v>69</v>
      </c>
      <c r="C857" t="s">
        <v>36</v>
      </c>
      <c r="D857" t="s">
        <v>2401</v>
      </c>
      <c r="E857" t="s">
        <v>2044</v>
      </c>
      <c r="F857" t="s">
        <v>125</v>
      </c>
      <c r="G857" t="s">
        <v>2403</v>
      </c>
      <c r="H857" t="s">
        <v>41</v>
      </c>
      <c r="I857" t="s">
        <v>58</v>
      </c>
      <c r="J857" s="1">
        <v>110050</v>
      </c>
      <c r="K857" t="s">
        <v>2568</v>
      </c>
      <c r="L857" t="s">
        <v>2569</v>
      </c>
      <c r="M857" t="s">
        <v>2406</v>
      </c>
      <c r="N857">
        <v>14</v>
      </c>
      <c r="O857">
        <v>172605.5</v>
      </c>
    </row>
    <row r="858" spans="1:15" x14ac:dyDescent="0.35">
      <c r="A858" t="s">
        <v>15</v>
      </c>
      <c r="B858" t="s">
        <v>16</v>
      </c>
      <c r="C858" t="s">
        <v>36</v>
      </c>
      <c r="D858" t="s">
        <v>371</v>
      </c>
      <c r="E858" t="s">
        <v>2570</v>
      </c>
      <c r="F858" t="s">
        <v>203</v>
      </c>
      <c r="G858" t="s">
        <v>204</v>
      </c>
      <c r="H858" t="s">
        <v>22</v>
      </c>
      <c r="I858" t="s">
        <v>23</v>
      </c>
      <c r="J858" s="1">
        <v>865466</v>
      </c>
      <c r="K858" t="s">
        <v>2516</v>
      </c>
      <c r="L858" t="s">
        <v>2571</v>
      </c>
      <c r="M858" t="s">
        <v>2560</v>
      </c>
      <c r="N858">
        <v>25</v>
      </c>
      <c r="O858">
        <v>169733</v>
      </c>
    </row>
    <row r="859" spans="1:15" x14ac:dyDescent="0.35">
      <c r="A859" t="s">
        <v>15</v>
      </c>
      <c r="B859" t="s">
        <v>99</v>
      </c>
      <c r="C859" t="s">
        <v>36</v>
      </c>
      <c r="D859" t="s">
        <v>920</v>
      </c>
      <c r="E859" t="s">
        <v>63</v>
      </c>
      <c r="F859" t="s">
        <v>39</v>
      </c>
      <c r="G859" t="s">
        <v>921</v>
      </c>
      <c r="H859" t="s">
        <v>22</v>
      </c>
      <c r="I859" t="s">
        <v>23</v>
      </c>
      <c r="J859" s="1">
        <v>55090</v>
      </c>
      <c r="K859" t="s">
        <v>2497</v>
      </c>
      <c r="L859" t="s">
        <v>2572</v>
      </c>
      <c r="M859" t="s">
        <v>1726</v>
      </c>
      <c r="O859">
        <v>170380</v>
      </c>
    </row>
    <row r="860" spans="1:15" x14ac:dyDescent="0.35">
      <c r="A860" t="s">
        <v>15</v>
      </c>
      <c r="B860" t="s">
        <v>99</v>
      </c>
      <c r="C860" t="s">
        <v>36</v>
      </c>
      <c r="D860" t="s">
        <v>664</v>
      </c>
      <c r="E860" t="s">
        <v>2573</v>
      </c>
      <c r="F860" t="s">
        <v>113</v>
      </c>
      <c r="G860" t="s">
        <v>79</v>
      </c>
      <c r="H860" t="s">
        <v>41</v>
      </c>
      <c r="I860" t="s">
        <v>23</v>
      </c>
      <c r="J860" s="1">
        <v>94570</v>
      </c>
      <c r="K860" t="s">
        <v>2574</v>
      </c>
      <c r="L860" t="s">
        <v>2575</v>
      </c>
      <c r="M860" t="s">
        <v>118</v>
      </c>
      <c r="N860">
        <v>19</v>
      </c>
      <c r="O860">
        <v>190890.5</v>
      </c>
    </row>
    <row r="861" spans="1:15" x14ac:dyDescent="0.35">
      <c r="A861" t="s">
        <v>15</v>
      </c>
      <c r="B861" t="s">
        <v>16</v>
      </c>
      <c r="C861" t="s">
        <v>36</v>
      </c>
      <c r="D861" t="s">
        <v>371</v>
      </c>
      <c r="E861" t="s">
        <v>268</v>
      </c>
      <c r="F861" t="s">
        <v>39</v>
      </c>
      <c r="G861" t="s">
        <v>204</v>
      </c>
      <c r="H861" t="s">
        <v>22</v>
      </c>
      <c r="I861" t="s">
        <v>23</v>
      </c>
      <c r="J861" s="1">
        <v>865476</v>
      </c>
      <c r="K861" t="s">
        <v>2520</v>
      </c>
      <c r="L861" t="s">
        <v>2576</v>
      </c>
      <c r="M861" t="s">
        <v>2577</v>
      </c>
      <c r="O861">
        <v>170196</v>
      </c>
    </row>
    <row r="862" spans="1:15" x14ac:dyDescent="0.35">
      <c r="A862" t="s">
        <v>15</v>
      </c>
      <c r="B862" t="s">
        <v>16</v>
      </c>
      <c r="C862" t="s">
        <v>36</v>
      </c>
      <c r="D862" t="s">
        <v>371</v>
      </c>
      <c r="E862" t="s">
        <v>2578</v>
      </c>
      <c r="F862" t="s">
        <v>394</v>
      </c>
      <c r="G862" t="s">
        <v>204</v>
      </c>
      <c r="H862" t="s">
        <v>22</v>
      </c>
      <c r="I862" t="s">
        <v>23</v>
      </c>
      <c r="J862" s="1">
        <v>865446</v>
      </c>
      <c r="K862" t="s">
        <v>2579</v>
      </c>
      <c r="L862" t="s">
        <v>2580</v>
      </c>
      <c r="M862" t="s">
        <v>2581</v>
      </c>
      <c r="N862">
        <v>11</v>
      </c>
      <c r="O862">
        <v>169732</v>
      </c>
    </row>
    <row r="863" spans="1:15" x14ac:dyDescent="0.35">
      <c r="A863" t="s">
        <v>75</v>
      </c>
      <c r="B863" t="s">
        <v>99</v>
      </c>
      <c r="C863" t="s">
        <v>61</v>
      </c>
      <c r="D863" t="s">
        <v>1802</v>
      </c>
      <c r="E863" t="s">
        <v>128</v>
      </c>
      <c r="F863" t="s">
        <v>30</v>
      </c>
      <c r="G863" t="s">
        <v>1803</v>
      </c>
      <c r="H863" t="s">
        <v>41</v>
      </c>
      <c r="I863" t="s">
        <v>23</v>
      </c>
      <c r="J863" s="1">
        <v>492255</v>
      </c>
      <c r="K863" t="s">
        <v>2522</v>
      </c>
      <c r="L863" t="s">
        <v>2523</v>
      </c>
      <c r="M863" t="s">
        <v>659</v>
      </c>
      <c r="N863">
        <v>15</v>
      </c>
      <c r="O863">
        <v>18492.5</v>
      </c>
    </row>
    <row r="864" spans="1:15" x14ac:dyDescent="0.35">
      <c r="A864" t="s">
        <v>15</v>
      </c>
      <c r="B864" t="s">
        <v>16</v>
      </c>
      <c r="C864" t="s">
        <v>17</v>
      </c>
      <c r="D864" t="s">
        <v>45</v>
      </c>
      <c r="E864" t="s">
        <v>335</v>
      </c>
      <c r="F864" t="s">
        <v>47</v>
      </c>
      <c r="G864" t="s">
        <v>48</v>
      </c>
      <c r="H864" t="s">
        <v>41</v>
      </c>
      <c r="I864" t="s">
        <v>23</v>
      </c>
      <c r="J864" s="1">
        <v>34670</v>
      </c>
      <c r="K864" t="s">
        <v>2582</v>
      </c>
      <c r="L864" t="s">
        <v>2583</v>
      </c>
      <c r="M864" t="s">
        <v>60</v>
      </c>
      <c r="N864">
        <v>8</v>
      </c>
      <c r="O864">
        <v>40374</v>
      </c>
    </row>
    <row r="865" spans="1:15" x14ac:dyDescent="0.35">
      <c r="A865" t="s">
        <v>75</v>
      </c>
      <c r="B865" t="s">
        <v>99</v>
      </c>
      <c r="C865" t="s">
        <v>61</v>
      </c>
      <c r="D865" t="s">
        <v>1802</v>
      </c>
      <c r="E865" t="s">
        <v>128</v>
      </c>
      <c r="F865" t="s">
        <v>30</v>
      </c>
      <c r="G865" t="s">
        <v>1803</v>
      </c>
      <c r="H865" t="s">
        <v>41</v>
      </c>
      <c r="I865" t="s">
        <v>23</v>
      </c>
      <c r="J865" s="1">
        <v>492215</v>
      </c>
      <c r="K865" t="s">
        <v>2584</v>
      </c>
      <c r="L865" t="s">
        <v>2585</v>
      </c>
      <c r="M865" t="s">
        <v>2413</v>
      </c>
      <c r="N865">
        <v>15</v>
      </c>
      <c r="O865">
        <v>18489.5</v>
      </c>
    </row>
    <row r="866" spans="1:15" x14ac:dyDescent="0.35">
      <c r="A866" t="s">
        <v>15</v>
      </c>
      <c r="B866" t="s">
        <v>99</v>
      </c>
      <c r="C866" t="s">
        <v>36</v>
      </c>
      <c r="D866" t="s">
        <v>371</v>
      </c>
      <c r="E866" t="s">
        <v>268</v>
      </c>
      <c r="F866" t="s">
        <v>2586</v>
      </c>
      <c r="G866" t="s">
        <v>204</v>
      </c>
      <c r="H866" t="s">
        <v>22</v>
      </c>
      <c r="I866" t="s">
        <v>23</v>
      </c>
      <c r="J866" s="1">
        <v>865436</v>
      </c>
      <c r="K866" t="s">
        <v>2587</v>
      </c>
      <c r="L866" t="s">
        <v>2588</v>
      </c>
      <c r="M866" t="s">
        <v>1373</v>
      </c>
      <c r="N866">
        <v>24</v>
      </c>
      <c r="O866">
        <v>165595.5</v>
      </c>
    </row>
    <row r="867" spans="1:15" x14ac:dyDescent="0.35">
      <c r="A867" t="s">
        <v>15</v>
      </c>
      <c r="B867" t="s">
        <v>16</v>
      </c>
      <c r="C867" t="s">
        <v>17</v>
      </c>
      <c r="D867" t="s">
        <v>45</v>
      </c>
      <c r="E867" t="s">
        <v>2589</v>
      </c>
      <c r="F867" t="s">
        <v>244</v>
      </c>
      <c r="G867" t="s">
        <v>48</v>
      </c>
      <c r="H867" t="s">
        <v>41</v>
      </c>
      <c r="I867" t="s">
        <v>23</v>
      </c>
      <c r="J867" s="1">
        <v>34660</v>
      </c>
      <c r="K867" t="s">
        <v>2590</v>
      </c>
      <c r="L867" t="s">
        <v>2591</v>
      </c>
      <c r="M867" t="s">
        <v>2592</v>
      </c>
      <c r="N867">
        <v>2</v>
      </c>
      <c r="O867">
        <v>158235</v>
      </c>
    </row>
    <row r="868" spans="1:15" x14ac:dyDescent="0.35">
      <c r="A868" t="s">
        <v>15</v>
      </c>
      <c r="B868" t="s">
        <v>16</v>
      </c>
      <c r="C868" t="s">
        <v>36</v>
      </c>
      <c r="D868" t="s">
        <v>1736</v>
      </c>
      <c r="E868" t="s">
        <v>743</v>
      </c>
      <c r="F868" t="s">
        <v>399</v>
      </c>
      <c r="G868" t="s">
        <v>412</v>
      </c>
      <c r="H868" t="s">
        <v>41</v>
      </c>
      <c r="I868" t="s">
        <v>23</v>
      </c>
      <c r="J868" s="1">
        <v>258770</v>
      </c>
      <c r="K868" t="s">
        <v>2593</v>
      </c>
      <c r="L868" t="s">
        <v>2594</v>
      </c>
      <c r="M868" t="s">
        <v>51</v>
      </c>
      <c r="N868">
        <v>5</v>
      </c>
      <c r="O868">
        <v>157774</v>
      </c>
    </row>
    <row r="869" spans="1:15" x14ac:dyDescent="0.35">
      <c r="A869" t="s">
        <v>75</v>
      </c>
      <c r="B869" t="s">
        <v>99</v>
      </c>
      <c r="C869" t="s">
        <v>36</v>
      </c>
      <c r="D869" t="s">
        <v>601</v>
      </c>
      <c r="E869" t="s">
        <v>2595</v>
      </c>
      <c r="F869" t="s">
        <v>39</v>
      </c>
      <c r="G869" t="s">
        <v>65</v>
      </c>
      <c r="H869" t="s">
        <v>57</v>
      </c>
      <c r="I869" t="s">
        <v>23</v>
      </c>
      <c r="J869" s="1">
        <v>290770</v>
      </c>
      <c r="K869" t="s">
        <v>2596</v>
      </c>
      <c r="L869" t="s">
        <v>2597</v>
      </c>
      <c r="M869" t="s">
        <v>2252</v>
      </c>
      <c r="O869">
        <v>131552</v>
      </c>
    </row>
    <row r="870" spans="1:15" x14ac:dyDescent="0.35">
      <c r="A870" t="s">
        <v>15</v>
      </c>
      <c r="B870" t="s">
        <v>27</v>
      </c>
      <c r="C870" t="s">
        <v>61</v>
      </c>
      <c r="D870" t="s">
        <v>601</v>
      </c>
      <c r="E870" t="s">
        <v>2598</v>
      </c>
      <c r="F870" t="s">
        <v>39</v>
      </c>
      <c r="G870" t="s">
        <v>65</v>
      </c>
      <c r="H870" t="s">
        <v>57</v>
      </c>
      <c r="I870" t="s">
        <v>23</v>
      </c>
      <c r="J870" s="1">
        <v>290770</v>
      </c>
      <c r="K870" t="s">
        <v>2599</v>
      </c>
      <c r="L870" t="s">
        <v>2600</v>
      </c>
      <c r="M870" t="s">
        <v>605</v>
      </c>
      <c r="O870">
        <v>54950</v>
      </c>
    </row>
    <row r="871" spans="1:15" x14ac:dyDescent="0.35">
      <c r="A871" t="s">
        <v>15</v>
      </c>
      <c r="B871" t="s">
        <v>16</v>
      </c>
      <c r="C871" t="s">
        <v>61</v>
      </c>
      <c r="D871" t="s">
        <v>445</v>
      </c>
      <c r="E871" t="s">
        <v>2601</v>
      </c>
      <c r="F871" t="s">
        <v>513</v>
      </c>
      <c r="G871" t="s">
        <v>446</v>
      </c>
      <c r="H871" t="s">
        <v>41</v>
      </c>
      <c r="I871" t="s">
        <v>23</v>
      </c>
      <c r="J871" s="1">
        <v>524628</v>
      </c>
      <c r="K871" t="s">
        <v>2602</v>
      </c>
      <c r="L871" t="s">
        <v>2603</v>
      </c>
      <c r="M871" t="s">
        <v>2604</v>
      </c>
      <c r="N871">
        <v>22</v>
      </c>
      <c r="O871">
        <v>43179</v>
      </c>
    </row>
    <row r="872" spans="1:15" x14ac:dyDescent="0.35">
      <c r="A872" t="s">
        <v>75</v>
      </c>
      <c r="B872" t="s">
        <v>16</v>
      </c>
      <c r="C872" t="s">
        <v>61</v>
      </c>
      <c r="D872" t="s">
        <v>1802</v>
      </c>
      <c r="E872" t="s">
        <v>128</v>
      </c>
      <c r="F872" t="s">
        <v>47</v>
      </c>
      <c r="G872" t="s">
        <v>1803</v>
      </c>
      <c r="H872" t="s">
        <v>41</v>
      </c>
      <c r="I872" t="s">
        <v>23</v>
      </c>
      <c r="J872" s="1">
        <v>492225</v>
      </c>
      <c r="K872" t="s">
        <v>2563</v>
      </c>
      <c r="L872" t="s">
        <v>2564</v>
      </c>
      <c r="M872" t="s">
        <v>874</v>
      </c>
      <c r="N872">
        <v>8</v>
      </c>
      <c r="O872">
        <v>20445</v>
      </c>
    </row>
    <row r="873" spans="1:15" x14ac:dyDescent="0.35">
      <c r="A873" t="s">
        <v>15</v>
      </c>
      <c r="B873" t="s">
        <v>27</v>
      </c>
      <c r="C873" t="s">
        <v>36</v>
      </c>
      <c r="D873" t="s">
        <v>601</v>
      </c>
      <c r="E873" t="s">
        <v>2249</v>
      </c>
      <c r="F873" t="s">
        <v>431</v>
      </c>
      <c r="G873" t="s">
        <v>65</v>
      </c>
      <c r="H873" t="s">
        <v>57</v>
      </c>
      <c r="I873" t="s">
        <v>23</v>
      </c>
      <c r="J873" s="1">
        <v>290760</v>
      </c>
      <c r="K873" t="s">
        <v>2551</v>
      </c>
      <c r="L873" t="s">
        <v>2605</v>
      </c>
      <c r="M873" t="s">
        <v>256</v>
      </c>
      <c r="N873">
        <v>21</v>
      </c>
      <c r="O873">
        <v>165589</v>
      </c>
    </row>
    <row r="874" spans="1:15" x14ac:dyDescent="0.35">
      <c r="A874" t="s">
        <v>15</v>
      </c>
      <c r="B874" t="s">
        <v>16</v>
      </c>
      <c r="C874" t="s">
        <v>17</v>
      </c>
      <c r="D874" t="s">
        <v>18</v>
      </c>
      <c r="E874" t="s">
        <v>904</v>
      </c>
      <c r="F874" t="s">
        <v>30</v>
      </c>
      <c r="G874" t="s">
        <v>21</v>
      </c>
      <c r="H874" t="s">
        <v>22</v>
      </c>
      <c r="I874" t="s">
        <v>23</v>
      </c>
      <c r="J874" t="s">
        <v>2500</v>
      </c>
      <c r="K874" t="s">
        <v>23</v>
      </c>
      <c r="L874" t="s">
        <v>2606</v>
      </c>
      <c r="M874" t="s">
        <v>2127</v>
      </c>
      <c r="N874">
        <v>15</v>
      </c>
      <c r="O874">
        <v>183991</v>
      </c>
    </row>
    <row r="875" spans="1:15" x14ac:dyDescent="0.35">
      <c r="A875" t="s">
        <v>15</v>
      </c>
      <c r="B875" t="s">
        <v>99</v>
      </c>
      <c r="C875" t="s">
        <v>36</v>
      </c>
      <c r="D875" t="s">
        <v>371</v>
      </c>
      <c r="E875" t="s">
        <v>2607</v>
      </c>
      <c r="F875" t="s">
        <v>39</v>
      </c>
      <c r="G875" t="s">
        <v>204</v>
      </c>
      <c r="H875" t="s">
        <v>22</v>
      </c>
      <c r="I875" t="s">
        <v>23</v>
      </c>
      <c r="J875" s="1">
        <v>865416</v>
      </c>
      <c r="K875" t="s">
        <v>2516</v>
      </c>
      <c r="L875" t="s">
        <v>2608</v>
      </c>
      <c r="M875" t="s">
        <v>2609</v>
      </c>
      <c r="O875">
        <v>171571</v>
      </c>
    </row>
    <row r="876" spans="1:15" x14ac:dyDescent="0.35">
      <c r="A876" t="s">
        <v>75</v>
      </c>
      <c r="B876" t="s">
        <v>99</v>
      </c>
      <c r="C876" t="s">
        <v>61</v>
      </c>
      <c r="D876" t="s">
        <v>1802</v>
      </c>
      <c r="E876" t="s">
        <v>128</v>
      </c>
      <c r="F876" t="s">
        <v>113</v>
      </c>
      <c r="G876" t="s">
        <v>1803</v>
      </c>
      <c r="H876" t="s">
        <v>41</v>
      </c>
      <c r="I876" t="s">
        <v>23</v>
      </c>
      <c r="J876" s="1">
        <v>492235</v>
      </c>
      <c r="K876" t="s">
        <v>2610</v>
      </c>
      <c r="L876" t="s">
        <v>2611</v>
      </c>
      <c r="M876" t="s">
        <v>81</v>
      </c>
      <c r="N876">
        <v>19</v>
      </c>
      <c r="O876">
        <v>18491.5</v>
      </c>
    </row>
    <row r="877" spans="1:15" x14ac:dyDescent="0.35">
      <c r="A877" t="s">
        <v>15</v>
      </c>
      <c r="B877" t="s">
        <v>16</v>
      </c>
      <c r="C877" t="s">
        <v>36</v>
      </c>
      <c r="D877" t="s">
        <v>1736</v>
      </c>
      <c r="E877" t="s">
        <v>763</v>
      </c>
      <c r="F877" t="s">
        <v>47</v>
      </c>
      <c r="G877" t="s">
        <v>412</v>
      </c>
      <c r="H877" t="s">
        <v>41</v>
      </c>
      <c r="I877" t="s">
        <v>23</v>
      </c>
      <c r="J877" s="1">
        <v>258760</v>
      </c>
      <c r="K877" t="s">
        <v>2612</v>
      </c>
      <c r="L877" t="s">
        <v>2613</v>
      </c>
      <c r="M877" t="s">
        <v>51</v>
      </c>
      <c r="N877">
        <v>8</v>
      </c>
      <c r="O877">
        <v>112544</v>
      </c>
    </row>
    <row r="878" spans="1:15" x14ac:dyDescent="0.35">
      <c r="A878" t="s">
        <v>15</v>
      </c>
      <c r="B878" t="s">
        <v>16</v>
      </c>
      <c r="C878" t="s">
        <v>36</v>
      </c>
      <c r="D878" t="s">
        <v>18</v>
      </c>
      <c r="E878" t="s">
        <v>2049</v>
      </c>
      <c r="F878" t="s">
        <v>20</v>
      </c>
      <c r="G878" t="s">
        <v>21</v>
      </c>
      <c r="H878" t="s">
        <v>22</v>
      </c>
      <c r="I878" t="s">
        <v>23</v>
      </c>
      <c r="J878" t="s">
        <v>2500</v>
      </c>
      <c r="K878" t="s">
        <v>23</v>
      </c>
      <c r="L878" t="s">
        <v>2614</v>
      </c>
      <c r="M878" t="s">
        <v>2127</v>
      </c>
      <c r="N878">
        <v>17</v>
      </c>
      <c r="O878">
        <v>197332</v>
      </c>
    </row>
    <row r="879" spans="1:15" x14ac:dyDescent="0.35">
      <c r="A879" t="s">
        <v>15</v>
      </c>
      <c r="B879" t="s">
        <v>99</v>
      </c>
      <c r="C879" t="s">
        <v>36</v>
      </c>
      <c r="D879" t="s">
        <v>1736</v>
      </c>
      <c r="E879" t="s">
        <v>743</v>
      </c>
      <c r="F879" t="s">
        <v>196</v>
      </c>
      <c r="G879" t="s">
        <v>412</v>
      </c>
      <c r="H879" t="s">
        <v>41</v>
      </c>
      <c r="I879" t="s">
        <v>23</v>
      </c>
      <c r="J879" s="1">
        <v>258810</v>
      </c>
      <c r="K879" t="s">
        <v>2531</v>
      </c>
      <c r="L879" t="s">
        <v>2615</v>
      </c>
      <c r="M879" t="s">
        <v>51</v>
      </c>
      <c r="N879">
        <v>7</v>
      </c>
      <c r="O879">
        <v>157770</v>
      </c>
    </row>
    <row r="880" spans="1:15" x14ac:dyDescent="0.35">
      <c r="A880" t="s">
        <v>2258</v>
      </c>
      <c r="B880" t="s">
        <v>16</v>
      </c>
      <c r="C880" t="s">
        <v>36</v>
      </c>
      <c r="D880" t="s">
        <v>371</v>
      </c>
      <c r="E880" t="s">
        <v>268</v>
      </c>
      <c r="F880" t="s">
        <v>64</v>
      </c>
      <c r="G880" t="s">
        <v>204</v>
      </c>
      <c r="H880" t="s">
        <v>22</v>
      </c>
      <c r="I880" t="s">
        <v>23</v>
      </c>
      <c r="J880" s="1">
        <v>865476</v>
      </c>
      <c r="K880" t="s">
        <v>2579</v>
      </c>
      <c r="L880" t="s">
        <v>2576</v>
      </c>
      <c r="M880" t="s">
        <v>1526</v>
      </c>
      <c r="N880">
        <v>3</v>
      </c>
      <c r="O880">
        <v>170196</v>
      </c>
    </row>
    <row r="881" spans="1:15" x14ac:dyDescent="0.35">
      <c r="A881" t="s">
        <v>15</v>
      </c>
      <c r="B881" t="s">
        <v>27</v>
      </c>
      <c r="C881" t="s">
        <v>61</v>
      </c>
      <c r="D881" t="s">
        <v>601</v>
      </c>
      <c r="E881" t="s">
        <v>1814</v>
      </c>
      <c r="F881" t="s">
        <v>113</v>
      </c>
      <c r="G881" t="s">
        <v>65</v>
      </c>
      <c r="H881" t="s">
        <v>57</v>
      </c>
      <c r="I881" t="s">
        <v>23</v>
      </c>
      <c r="J881" s="1">
        <v>290750</v>
      </c>
      <c r="K881" t="s">
        <v>2534</v>
      </c>
      <c r="L881" t="s">
        <v>2616</v>
      </c>
      <c r="M881" t="s">
        <v>60</v>
      </c>
      <c r="N881">
        <v>19</v>
      </c>
      <c r="O881">
        <v>119399.5</v>
      </c>
    </row>
    <row r="882" spans="1:15" x14ac:dyDescent="0.35">
      <c r="A882" t="s">
        <v>15</v>
      </c>
      <c r="B882" t="s">
        <v>27</v>
      </c>
      <c r="C882" t="s">
        <v>36</v>
      </c>
      <c r="D882" t="s">
        <v>664</v>
      </c>
      <c r="E882" t="s">
        <v>77</v>
      </c>
      <c r="F882" t="s">
        <v>277</v>
      </c>
      <c r="G882" t="s">
        <v>79</v>
      </c>
      <c r="H882" t="s">
        <v>41</v>
      </c>
      <c r="I882" t="s">
        <v>23</v>
      </c>
      <c r="J882" s="1">
        <v>94580</v>
      </c>
      <c r="K882" t="s">
        <v>2561</v>
      </c>
      <c r="L882" t="s">
        <v>2617</v>
      </c>
      <c r="M882" t="s">
        <v>118</v>
      </c>
      <c r="N882">
        <v>12</v>
      </c>
      <c r="O882">
        <v>224007</v>
      </c>
    </row>
    <row r="883" spans="1:15" x14ac:dyDescent="0.35">
      <c r="A883" t="s">
        <v>15</v>
      </c>
      <c r="B883" t="s">
        <v>99</v>
      </c>
      <c r="C883" t="s">
        <v>36</v>
      </c>
      <c r="D883" t="s">
        <v>920</v>
      </c>
      <c r="E883" t="s">
        <v>860</v>
      </c>
      <c r="F883" t="s">
        <v>20</v>
      </c>
      <c r="G883" t="s">
        <v>921</v>
      </c>
      <c r="H883" t="s">
        <v>22</v>
      </c>
      <c r="I883" t="s">
        <v>23</v>
      </c>
      <c r="J883" s="1">
        <v>55090</v>
      </c>
      <c r="K883" t="s">
        <v>2540</v>
      </c>
      <c r="L883" t="s">
        <v>2618</v>
      </c>
      <c r="M883" t="s">
        <v>1726</v>
      </c>
      <c r="N883">
        <v>17</v>
      </c>
      <c r="O883">
        <v>170377</v>
      </c>
    </row>
    <row r="884" spans="1:15" x14ac:dyDescent="0.35">
      <c r="A884" t="s">
        <v>15</v>
      </c>
      <c r="B884" t="s">
        <v>27</v>
      </c>
      <c r="C884" t="s">
        <v>36</v>
      </c>
      <c r="D884" t="s">
        <v>920</v>
      </c>
      <c r="E884" t="s">
        <v>63</v>
      </c>
      <c r="F884" t="s">
        <v>431</v>
      </c>
      <c r="G884" t="s">
        <v>921</v>
      </c>
      <c r="H884" t="s">
        <v>22</v>
      </c>
      <c r="I884" t="s">
        <v>23</v>
      </c>
      <c r="J884" s="1">
        <v>55150</v>
      </c>
      <c r="K884" t="s">
        <v>2540</v>
      </c>
      <c r="L884" t="s">
        <v>2619</v>
      </c>
      <c r="M884" t="s">
        <v>2043</v>
      </c>
      <c r="N884">
        <v>21</v>
      </c>
      <c r="O884">
        <v>283481.5</v>
      </c>
    </row>
    <row r="885" spans="1:15" x14ac:dyDescent="0.35">
      <c r="A885" t="s">
        <v>15</v>
      </c>
      <c r="B885" t="s">
        <v>16</v>
      </c>
      <c r="C885" t="s">
        <v>36</v>
      </c>
      <c r="D885" t="s">
        <v>664</v>
      </c>
      <c r="E885" t="s">
        <v>2573</v>
      </c>
      <c r="F885" t="s">
        <v>39</v>
      </c>
      <c r="G885" t="s">
        <v>79</v>
      </c>
      <c r="H885" t="s">
        <v>41</v>
      </c>
      <c r="I885" t="s">
        <v>23</v>
      </c>
      <c r="J885" s="1">
        <v>94560</v>
      </c>
      <c r="K885" t="s">
        <v>2574</v>
      </c>
      <c r="L885" t="s">
        <v>2620</v>
      </c>
      <c r="M885" t="s">
        <v>118</v>
      </c>
      <c r="O885">
        <v>190894.5</v>
      </c>
    </row>
    <row r="886" spans="1:15" x14ac:dyDescent="0.35">
      <c r="A886" t="s">
        <v>15</v>
      </c>
      <c r="B886" t="s">
        <v>16</v>
      </c>
      <c r="C886" t="s">
        <v>61</v>
      </c>
      <c r="D886" t="s">
        <v>1531</v>
      </c>
      <c r="E886" t="s">
        <v>248</v>
      </c>
      <c r="F886" t="s">
        <v>513</v>
      </c>
      <c r="G886" t="s">
        <v>412</v>
      </c>
      <c r="H886" t="s">
        <v>41</v>
      </c>
      <c r="I886" t="s">
        <v>23</v>
      </c>
      <c r="J886" s="1">
        <v>17030</v>
      </c>
      <c r="K886" t="s">
        <v>2621</v>
      </c>
      <c r="L886" t="s">
        <v>2622</v>
      </c>
      <c r="M886" t="s">
        <v>206</v>
      </c>
      <c r="N886">
        <v>22</v>
      </c>
      <c r="O886">
        <v>163752</v>
      </c>
    </row>
    <row r="887" spans="1:15" x14ac:dyDescent="0.35">
      <c r="A887" t="s">
        <v>15</v>
      </c>
      <c r="B887" t="s">
        <v>16</v>
      </c>
      <c r="C887" t="s">
        <v>36</v>
      </c>
      <c r="D887" t="s">
        <v>371</v>
      </c>
      <c r="E887" t="s">
        <v>2623</v>
      </c>
      <c r="F887" t="s">
        <v>39</v>
      </c>
      <c r="G887" t="s">
        <v>204</v>
      </c>
      <c r="H887" t="s">
        <v>22</v>
      </c>
      <c r="I887" t="s">
        <v>23</v>
      </c>
      <c r="J887" s="1">
        <v>865416</v>
      </c>
      <c r="K887" t="s">
        <v>2579</v>
      </c>
      <c r="L887" t="s">
        <v>2624</v>
      </c>
      <c r="M887" t="s">
        <v>1373</v>
      </c>
      <c r="O887">
        <v>156391</v>
      </c>
    </row>
    <row r="888" spans="1:15" x14ac:dyDescent="0.35">
      <c r="A888" t="s">
        <v>15</v>
      </c>
      <c r="B888" t="s">
        <v>27</v>
      </c>
      <c r="C888" t="s">
        <v>36</v>
      </c>
      <c r="D888" t="s">
        <v>920</v>
      </c>
      <c r="E888" t="s">
        <v>63</v>
      </c>
      <c r="F888" t="s">
        <v>39</v>
      </c>
      <c r="G888" t="s">
        <v>921</v>
      </c>
      <c r="H888" t="s">
        <v>22</v>
      </c>
      <c r="I888" t="s">
        <v>23</v>
      </c>
      <c r="J888" s="1">
        <v>55140</v>
      </c>
      <c r="K888" t="s">
        <v>2625</v>
      </c>
      <c r="L888" t="s">
        <v>2626</v>
      </c>
      <c r="M888" t="s">
        <v>1726</v>
      </c>
      <c r="O888">
        <v>207817</v>
      </c>
    </row>
    <row r="889" spans="1:15" x14ac:dyDescent="0.35">
      <c r="A889" t="s">
        <v>15</v>
      </c>
      <c r="B889" t="s">
        <v>16</v>
      </c>
      <c r="C889" t="s">
        <v>61</v>
      </c>
      <c r="D889" t="s">
        <v>445</v>
      </c>
      <c r="E889" t="s">
        <v>688</v>
      </c>
      <c r="F889" t="s">
        <v>30</v>
      </c>
      <c r="G889" t="s">
        <v>446</v>
      </c>
      <c r="H889" t="s">
        <v>41</v>
      </c>
      <c r="I889" t="s">
        <v>23</v>
      </c>
      <c r="J889" s="1">
        <v>524568</v>
      </c>
      <c r="K889" t="s">
        <v>2627</v>
      </c>
      <c r="L889" t="s">
        <v>2628</v>
      </c>
      <c r="M889" t="s">
        <v>1742</v>
      </c>
      <c r="N889">
        <v>15</v>
      </c>
      <c r="O889">
        <v>40276.5</v>
      </c>
    </row>
    <row r="890" spans="1:15" x14ac:dyDescent="0.35">
      <c r="A890" t="s">
        <v>15</v>
      </c>
      <c r="B890" t="s">
        <v>16</v>
      </c>
      <c r="C890" t="s">
        <v>17</v>
      </c>
      <c r="D890" t="s">
        <v>1918</v>
      </c>
      <c r="E890" t="s">
        <v>2128</v>
      </c>
      <c r="F890" t="s">
        <v>312</v>
      </c>
      <c r="G890" t="s">
        <v>921</v>
      </c>
      <c r="H890" t="s">
        <v>41</v>
      </c>
      <c r="I890" t="s">
        <v>23</v>
      </c>
      <c r="J890" s="1">
        <v>27010</v>
      </c>
      <c r="K890" t="s">
        <v>23</v>
      </c>
      <c r="L890" t="s">
        <v>2629</v>
      </c>
      <c r="M890" t="s">
        <v>402</v>
      </c>
      <c r="N890">
        <v>4</v>
      </c>
      <c r="O890">
        <v>149030.5</v>
      </c>
    </row>
    <row r="891" spans="1:15" x14ac:dyDescent="0.35">
      <c r="A891" t="s">
        <v>15</v>
      </c>
      <c r="B891" t="s">
        <v>16</v>
      </c>
      <c r="C891" t="s">
        <v>61</v>
      </c>
      <c r="D891" t="s">
        <v>1531</v>
      </c>
      <c r="E891" t="s">
        <v>248</v>
      </c>
      <c r="F891" t="s">
        <v>78</v>
      </c>
      <c r="G891" t="s">
        <v>412</v>
      </c>
      <c r="H891" t="s">
        <v>41</v>
      </c>
      <c r="I891" t="s">
        <v>23</v>
      </c>
      <c r="J891" s="1">
        <v>17050</v>
      </c>
      <c r="K891" t="s">
        <v>2630</v>
      </c>
      <c r="L891" t="s">
        <v>2631</v>
      </c>
      <c r="M891" t="s">
        <v>206</v>
      </c>
      <c r="N891">
        <v>9</v>
      </c>
      <c r="O891">
        <v>163754</v>
      </c>
    </row>
    <row r="892" spans="1:15" x14ac:dyDescent="0.35">
      <c r="A892" t="s">
        <v>15</v>
      </c>
      <c r="B892" t="s">
        <v>16</v>
      </c>
      <c r="C892" t="s">
        <v>36</v>
      </c>
      <c r="D892" t="s">
        <v>371</v>
      </c>
      <c r="E892" t="s">
        <v>2632</v>
      </c>
      <c r="F892" t="s">
        <v>39</v>
      </c>
      <c r="G892" t="s">
        <v>204</v>
      </c>
      <c r="H892" t="s">
        <v>22</v>
      </c>
      <c r="I892" t="s">
        <v>23</v>
      </c>
      <c r="J892" s="1">
        <v>865416</v>
      </c>
      <c r="K892" t="s">
        <v>2558</v>
      </c>
      <c r="L892" t="s">
        <v>2633</v>
      </c>
      <c r="M892" t="s">
        <v>2577</v>
      </c>
      <c r="O892">
        <v>165591.5</v>
      </c>
    </row>
    <row r="893" spans="1:15" x14ac:dyDescent="0.35">
      <c r="A893" t="s">
        <v>15</v>
      </c>
      <c r="B893" t="s">
        <v>27</v>
      </c>
      <c r="C893" t="s">
        <v>36</v>
      </c>
      <c r="D893" t="s">
        <v>601</v>
      </c>
      <c r="E893" t="s">
        <v>2318</v>
      </c>
      <c r="F893" t="s">
        <v>394</v>
      </c>
      <c r="G893" t="s">
        <v>65</v>
      </c>
      <c r="H893" t="s">
        <v>57</v>
      </c>
      <c r="I893" t="s">
        <v>23</v>
      </c>
      <c r="J893" s="1">
        <v>290780</v>
      </c>
      <c r="K893" t="s">
        <v>2634</v>
      </c>
      <c r="L893" t="s">
        <v>2635</v>
      </c>
      <c r="M893" t="s">
        <v>2636</v>
      </c>
      <c r="N893">
        <v>11</v>
      </c>
      <c r="O893">
        <v>137996</v>
      </c>
    </row>
    <row r="894" spans="1:15" x14ac:dyDescent="0.35">
      <c r="A894" t="s">
        <v>15</v>
      </c>
      <c r="B894" t="s">
        <v>99</v>
      </c>
      <c r="C894" t="s">
        <v>36</v>
      </c>
      <c r="D894" t="s">
        <v>664</v>
      </c>
      <c r="E894" t="s">
        <v>63</v>
      </c>
      <c r="F894" t="s">
        <v>39</v>
      </c>
      <c r="G894" t="s">
        <v>79</v>
      </c>
      <c r="H894" t="s">
        <v>41</v>
      </c>
      <c r="I894" t="s">
        <v>23</v>
      </c>
      <c r="J894" s="1">
        <v>94560</v>
      </c>
      <c r="K894" t="s">
        <v>2637</v>
      </c>
      <c r="L894" t="s">
        <v>2638</v>
      </c>
      <c r="M894" t="s">
        <v>118</v>
      </c>
      <c r="O894">
        <v>160530</v>
      </c>
    </row>
    <row r="895" spans="1:15" x14ac:dyDescent="0.35">
      <c r="A895" t="s">
        <v>75</v>
      </c>
      <c r="B895" t="s">
        <v>16</v>
      </c>
      <c r="C895" t="s">
        <v>61</v>
      </c>
      <c r="D895" t="s">
        <v>1802</v>
      </c>
      <c r="E895" t="s">
        <v>128</v>
      </c>
      <c r="F895" t="s">
        <v>47</v>
      </c>
      <c r="G895" t="s">
        <v>1803</v>
      </c>
      <c r="H895" t="s">
        <v>41</v>
      </c>
      <c r="I895" t="s">
        <v>23</v>
      </c>
      <c r="J895" s="1">
        <v>492215</v>
      </c>
      <c r="K895" t="s">
        <v>2584</v>
      </c>
      <c r="L895" t="s">
        <v>2639</v>
      </c>
      <c r="M895" t="s">
        <v>874</v>
      </c>
      <c r="N895">
        <v>8</v>
      </c>
      <c r="O895">
        <v>20440</v>
      </c>
    </row>
    <row r="896" spans="1:15" x14ac:dyDescent="0.35">
      <c r="A896" t="s">
        <v>15</v>
      </c>
      <c r="B896" t="s">
        <v>16</v>
      </c>
      <c r="C896" t="s">
        <v>36</v>
      </c>
      <c r="D896" t="s">
        <v>371</v>
      </c>
      <c r="E896" t="s">
        <v>2640</v>
      </c>
      <c r="F896" t="s">
        <v>47</v>
      </c>
      <c r="G896" t="s">
        <v>204</v>
      </c>
      <c r="H896" t="s">
        <v>22</v>
      </c>
      <c r="I896" t="s">
        <v>23</v>
      </c>
      <c r="J896" s="1">
        <v>865466</v>
      </c>
      <c r="K896" t="s">
        <v>2641</v>
      </c>
      <c r="L896" t="s">
        <v>2642</v>
      </c>
      <c r="M896" t="s">
        <v>2643</v>
      </c>
      <c r="N896">
        <v>8</v>
      </c>
      <c r="O896">
        <v>165588.5</v>
      </c>
    </row>
    <row r="897" spans="1:15" x14ac:dyDescent="0.35">
      <c r="A897" t="s">
        <v>15</v>
      </c>
      <c r="B897" t="s">
        <v>16</v>
      </c>
      <c r="C897" t="s">
        <v>36</v>
      </c>
      <c r="D897" t="s">
        <v>1736</v>
      </c>
      <c r="E897" t="s">
        <v>743</v>
      </c>
      <c r="F897" t="s">
        <v>399</v>
      </c>
      <c r="G897" t="s">
        <v>412</v>
      </c>
      <c r="H897" t="s">
        <v>41</v>
      </c>
      <c r="I897" t="s">
        <v>23</v>
      </c>
      <c r="J897" s="1">
        <v>258810</v>
      </c>
      <c r="K897" t="s">
        <v>2513</v>
      </c>
      <c r="L897" t="s">
        <v>2644</v>
      </c>
      <c r="M897" t="s">
        <v>51</v>
      </c>
      <c r="N897">
        <v>5</v>
      </c>
      <c r="O897">
        <v>251602</v>
      </c>
    </row>
    <row r="898" spans="1:15" x14ac:dyDescent="0.35">
      <c r="A898" t="s">
        <v>15</v>
      </c>
      <c r="B898" t="s">
        <v>16</v>
      </c>
      <c r="C898" t="s">
        <v>36</v>
      </c>
      <c r="D898" t="s">
        <v>920</v>
      </c>
      <c r="E898" t="s">
        <v>2044</v>
      </c>
      <c r="F898" t="s">
        <v>139</v>
      </c>
      <c r="G898" t="s">
        <v>921</v>
      </c>
      <c r="H898" t="s">
        <v>22</v>
      </c>
      <c r="I898" t="s">
        <v>23</v>
      </c>
      <c r="J898" s="1">
        <v>55110</v>
      </c>
      <c r="K898" t="s">
        <v>2497</v>
      </c>
      <c r="L898" t="s">
        <v>2645</v>
      </c>
      <c r="M898" t="s">
        <v>2046</v>
      </c>
      <c r="N898">
        <v>13</v>
      </c>
      <c r="O898">
        <v>142918</v>
      </c>
    </row>
    <row r="899" spans="1:15" x14ac:dyDescent="0.35">
      <c r="A899" t="s">
        <v>15</v>
      </c>
      <c r="B899" t="s">
        <v>99</v>
      </c>
      <c r="C899" t="s">
        <v>17</v>
      </c>
      <c r="D899" t="s">
        <v>45</v>
      </c>
      <c r="E899" t="s">
        <v>1223</v>
      </c>
      <c r="F899" t="s">
        <v>244</v>
      </c>
      <c r="G899" t="s">
        <v>48</v>
      </c>
      <c r="H899" t="s">
        <v>41</v>
      </c>
      <c r="I899" t="s">
        <v>23</v>
      </c>
      <c r="J899" s="1">
        <v>34650</v>
      </c>
      <c r="K899" t="s">
        <v>2492</v>
      </c>
      <c r="L899" t="s">
        <v>2506</v>
      </c>
      <c r="M899" t="s">
        <v>206</v>
      </c>
      <c r="N899">
        <v>2</v>
      </c>
      <c r="O899">
        <v>154712</v>
      </c>
    </row>
    <row r="900" spans="1:15" x14ac:dyDescent="0.35">
      <c r="A900" t="s">
        <v>15</v>
      </c>
      <c r="B900" t="s">
        <v>16</v>
      </c>
      <c r="C900" t="s">
        <v>36</v>
      </c>
      <c r="D900" t="s">
        <v>371</v>
      </c>
      <c r="E900" t="s">
        <v>2646</v>
      </c>
      <c r="F900" t="s">
        <v>47</v>
      </c>
      <c r="G900" t="s">
        <v>204</v>
      </c>
      <c r="H900" t="s">
        <v>22</v>
      </c>
      <c r="I900" t="s">
        <v>23</v>
      </c>
      <c r="J900" s="1">
        <v>865466</v>
      </c>
      <c r="K900" t="s">
        <v>2641</v>
      </c>
      <c r="L900" t="s">
        <v>2647</v>
      </c>
      <c r="M900" t="s">
        <v>2648</v>
      </c>
      <c r="N900">
        <v>8</v>
      </c>
      <c r="O900">
        <v>169733</v>
      </c>
    </row>
    <row r="901" spans="1:15" x14ac:dyDescent="0.35">
      <c r="A901" t="s">
        <v>15</v>
      </c>
      <c r="B901" t="s">
        <v>16</v>
      </c>
      <c r="C901" t="s">
        <v>36</v>
      </c>
      <c r="D901" t="s">
        <v>664</v>
      </c>
      <c r="E901" t="s">
        <v>855</v>
      </c>
      <c r="F901" t="s">
        <v>196</v>
      </c>
      <c r="G901" t="s">
        <v>79</v>
      </c>
      <c r="H901" t="s">
        <v>41</v>
      </c>
      <c r="I901" t="s">
        <v>23</v>
      </c>
      <c r="J901" s="1">
        <v>94590</v>
      </c>
      <c r="K901" t="s">
        <v>2574</v>
      </c>
      <c r="L901" t="s">
        <v>2649</v>
      </c>
      <c r="M901" t="s">
        <v>2650</v>
      </c>
      <c r="N901">
        <v>7</v>
      </c>
      <c r="O901">
        <v>160532</v>
      </c>
    </row>
    <row r="902" spans="1:15" x14ac:dyDescent="0.35">
      <c r="A902" t="s">
        <v>15</v>
      </c>
      <c r="B902" t="s">
        <v>16</v>
      </c>
      <c r="C902" t="s">
        <v>61</v>
      </c>
      <c r="D902" t="s">
        <v>1736</v>
      </c>
      <c r="E902" t="s">
        <v>128</v>
      </c>
      <c r="F902" t="s">
        <v>856</v>
      </c>
      <c r="G902" t="s">
        <v>412</v>
      </c>
      <c r="H902" t="s">
        <v>41</v>
      </c>
      <c r="I902" t="s">
        <v>23</v>
      </c>
      <c r="J902" s="1">
        <v>258810</v>
      </c>
      <c r="K902" t="s">
        <v>2513</v>
      </c>
      <c r="L902" t="s">
        <v>2651</v>
      </c>
      <c r="M902" t="s">
        <v>51</v>
      </c>
      <c r="N902">
        <v>23</v>
      </c>
      <c r="O902">
        <v>42805</v>
      </c>
    </row>
    <row r="903" spans="1:15" x14ac:dyDescent="0.35">
      <c r="A903" t="s">
        <v>15</v>
      </c>
      <c r="B903" t="s">
        <v>99</v>
      </c>
      <c r="C903" t="s">
        <v>61</v>
      </c>
      <c r="D903" t="s">
        <v>601</v>
      </c>
      <c r="E903" t="s">
        <v>1814</v>
      </c>
      <c r="F903" t="s">
        <v>196</v>
      </c>
      <c r="G903" t="s">
        <v>65</v>
      </c>
      <c r="H903" t="s">
        <v>57</v>
      </c>
      <c r="I903" t="s">
        <v>23</v>
      </c>
      <c r="J903" s="1">
        <v>290800</v>
      </c>
      <c r="K903" t="s">
        <v>2634</v>
      </c>
      <c r="L903" t="s">
        <v>2652</v>
      </c>
      <c r="M903" t="s">
        <v>110</v>
      </c>
      <c r="N903">
        <v>7</v>
      </c>
      <c r="O903">
        <v>97625</v>
      </c>
    </row>
    <row r="904" spans="1:15" x14ac:dyDescent="0.35">
      <c r="A904" t="s">
        <v>15</v>
      </c>
      <c r="B904" t="s">
        <v>16</v>
      </c>
      <c r="C904" t="s">
        <v>61</v>
      </c>
      <c r="D904" t="s">
        <v>1531</v>
      </c>
      <c r="E904" t="s">
        <v>63</v>
      </c>
      <c r="F904" t="s">
        <v>47</v>
      </c>
      <c r="G904" t="s">
        <v>412</v>
      </c>
      <c r="H904" t="s">
        <v>41</v>
      </c>
      <c r="I904" t="s">
        <v>23</v>
      </c>
      <c r="J904" s="1">
        <v>17030</v>
      </c>
      <c r="K904" t="s">
        <v>2653</v>
      </c>
      <c r="L904" t="s">
        <v>2654</v>
      </c>
      <c r="M904" t="s">
        <v>475</v>
      </c>
      <c r="N904">
        <v>8</v>
      </c>
      <c r="O904">
        <v>170193</v>
      </c>
    </row>
    <row r="905" spans="1:15" x14ac:dyDescent="0.35">
      <c r="A905" t="s">
        <v>15</v>
      </c>
      <c r="B905" t="s">
        <v>16</v>
      </c>
      <c r="C905" t="s">
        <v>36</v>
      </c>
      <c r="D905" t="s">
        <v>18</v>
      </c>
      <c r="E905" t="s">
        <v>2125</v>
      </c>
      <c r="F905" t="s">
        <v>20</v>
      </c>
      <c r="G905" t="s">
        <v>21</v>
      </c>
      <c r="H905" t="s">
        <v>22</v>
      </c>
      <c r="I905" t="s">
        <v>23</v>
      </c>
      <c r="J905" t="s">
        <v>2500</v>
      </c>
      <c r="K905" t="s">
        <v>23</v>
      </c>
      <c r="L905" t="s">
        <v>2655</v>
      </c>
      <c r="M905" t="s">
        <v>1950</v>
      </c>
      <c r="N905">
        <v>17</v>
      </c>
      <c r="O905">
        <v>197334</v>
      </c>
    </row>
    <row r="906" spans="1:15" x14ac:dyDescent="0.35">
      <c r="A906" t="s">
        <v>15</v>
      </c>
      <c r="B906" t="s">
        <v>16</v>
      </c>
      <c r="C906" t="s">
        <v>36</v>
      </c>
      <c r="D906" t="s">
        <v>18</v>
      </c>
      <c r="E906" t="s">
        <v>2049</v>
      </c>
      <c r="F906" t="s">
        <v>113</v>
      </c>
      <c r="G906" t="s">
        <v>21</v>
      </c>
      <c r="H906" t="s">
        <v>22</v>
      </c>
      <c r="I906" t="s">
        <v>23</v>
      </c>
      <c r="J906" t="s">
        <v>2500</v>
      </c>
      <c r="K906" t="s">
        <v>23</v>
      </c>
      <c r="L906" t="s">
        <v>2656</v>
      </c>
      <c r="M906" t="s">
        <v>2510</v>
      </c>
      <c r="N906">
        <v>19</v>
      </c>
      <c r="O906">
        <v>161456</v>
      </c>
    </row>
    <row r="907" spans="1:15" x14ac:dyDescent="0.35">
      <c r="A907" t="s">
        <v>15</v>
      </c>
      <c r="B907" t="s">
        <v>69</v>
      </c>
      <c r="C907" t="s">
        <v>36</v>
      </c>
      <c r="D907" t="s">
        <v>2657</v>
      </c>
      <c r="E907" t="s">
        <v>2658</v>
      </c>
      <c r="F907" t="s">
        <v>85</v>
      </c>
      <c r="G907" t="s">
        <v>2659</v>
      </c>
      <c r="H907" t="s">
        <v>41</v>
      </c>
      <c r="I907" t="s">
        <v>23</v>
      </c>
      <c r="J907" s="1">
        <v>49540</v>
      </c>
      <c r="K907" t="s">
        <v>23</v>
      </c>
      <c r="L907" t="s">
        <v>2660</v>
      </c>
      <c r="M907" t="s">
        <v>919</v>
      </c>
      <c r="N907">
        <v>6</v>
      </c>
      <c r="O907">
        <v>22087</v>
      </c>
    </row>
    <row r="908" spans="1:15" x14ac:dyDescent="0.35">
      <c r="A908" t="s">
        <v>15</v>
      </c>
      <c r="B908" t="s">
        <v>27</v>
      </c>
      <c r="C908" t="s">
        <v>36</v>
      </c>
      <c r="D908" t="s">
        <v>1736</v>
      </c>
      <c r="E908" t="s">
        <v>2661</v>
      </c>
      <c r="F908" t="s">
        <v>47</v>
      </c>
      <c r="G908" t="s">
        <v>412</v>
      </c>
      <c r="H908" t="s">
        <v>41</v>
      </c>
      <c r="I908" t="s">
        <v>23</v>
      </c>
      <c r="J908" s="1">
        <v>258770</v>
      </c>
      <c r="K908" t="s">
        <v>2531</v>
      </c>
      <c r="L908" t="s">
        <v>2662</v>
      </c>
      <c r="M908" t="s">
        <v>51</v>
      </c>
      <c r="N908">
        <v>8</v>
      </c>
      <c r="O908">
        <v>224469</v>
      </c>
    </row>
    <row r="909" spans="1:15" x14ac:dyDescent="0.35">
      <c r="A909" t="s">
        <v>75</v>
      </c>
      <c r="B909" t="s">
        <v>16</v>
      </c>
      <c r="C909" t="s">
        <v>17</v>
      </c>
      <c r="D909" t="s">
        <v>45</v>
      </c>
      <c r="E909" t="s">
        <v>776</v>
      </c>
      <c r="F909" t="s">
        <v>39</v>
      </c>
      <c r="G909" t="s">
        <v>48</v>
      </c>
      <c r="H909" t="s">
        <v>41</v>
      </c>
      <c r="I909" t="s">
        <v>23</v>
      </c>
      <c r="J909" s="1">
        <v>34630</v>
      </c>
      <c r="K909" t="s">
        <v>2505</v>
      </c>
      <c r="L909" t="s">
        <v>2663</v>
      </c>
      <c r="M909" t="s">
        <v>2664</v>
      </c>
      <c r="O909">
        <v>235482</v>
      </c>
    </row>
    <row r="910" spans="1:15" x14ac:dyDescent="0.35">
      <c r="A910" t="s">
        <v>15</v>
      </c>
      <c r="B910" t="s">
        <v>16</v>
      </c>
      <c r="C910" t="s">
        <v>36</v>
      </c>
      <c r="D910" t="s">
        <v>18</v>
      </c>
      <c r="E910" t="s">
        <v>2125</v>
      </c>
      <c r="F910" t="s">
        <v>1149</v>
      </c>
      <c r="G910" t="s">
        <v>21</v>
      </c>
      <c r="H910" t="s">
        <v>22</v>
      </c>
      <c r="I910" t="s">
        <v>23</v>
      </c>
      <c r="J910" t="s">
        <v>2500</v>
      </c>
      <c r="K910" t="s">
        <v>23</v>
      </c>
      <c r="L910" t="s">
        <v>2665</v>
      </c>
      <c r="M910" t="s">
        <v>2666</v>
      </c>
      <c r="N910">
        <v>18</v>
      </c>
      <c r="O910">
        <v>151789.5</v>
      </c>
    </row>
    <row r="911" spans="1:15" x14ac:dyDescent="0.35">
      <c r="A911" t="s">
        <v>15</v>
      </c>
      <c r="B911" t="s">
        <v>27</v>
      </c>
      <c r="C911" t="s">
        <v>36</v>
      </c>
      <c r="D911" t="s">
        <v>664</v>
      </c>
      <c r="E911" t="s">
        <v>855</v>
      </c>
      <c r="F911" t="s">
        <v>113</v>
      </c>
      <c r="G911" t="s">
        <v>79</v>
      </c>
      <c r="H911" t="s">
        <v>41</v>
      </c>
      <c r="I911" t="s">
        <v>23</v>
      </c>
      <c r="J911" s="1">
        <v>94590</v>
      </c>
      <c r="K911" t="s">
        <v>2667</v>
      </c>
      <c r="L911" t="s">
        <v>2668</v>
      </c>
      <c r="M911" t="s">
        <v>81</v>
      </c>
      <c r="N911">
        <v>19</v>
      </c>
      <c r="O911">
        <v>260803</v>
      </c>
    </row>
    <row r="912" spans="1:15" x14ac:dyDescent="0.35">
      <c r="A912" t="s">
        <v>15</v>
      </c>
      <c r="B912" t="s">
        <v>16</v>
      </c>
      <c r="C912" t="s">
        <v>36</v>
      </c>
      <c r="D912" t="s">
        <v>1736</v>
      </c>
      <c r="E912" t="s">
        <v>743</v>
      </c>
      <c r="F912" t="s">
        <v>30</v>
      </c>
      <c r="G912" t="s">
        <v>412</v>
      </c>
      <c r="H912" t="s">
        <v>41</v>
      </c>
      <c r="I912" t="s">
        <v>23</v>
      </c>
      <c r="J912" s="1">
        <v>258810</v>
      </c>
      <c r="K912" t="s">
        <v>2669</v>
      </c>
      <c r="L912" t="s">
        <v>2670</v>
      </c>
      <c r="M912" t="s">
        <v>51</v>
      </c>
      <c r="N912">
        <v>15</v>
      </c>
      <c r="O912">
        <v>224466</v>
      </c>
    </row>
    <row r="913" spans="1:15" x14ac:dyDescent="0.35">
      <c r="A913" t="s">
        <v>15</v>
      </c>
      <c r="B913" t="s">
        <v>99</v>
      </c>
      <c r="C913" t="s">
        <v>36</v>
      </c>
      <c r="D913" t="s">
        <v>371</v>
      </c>
      <c r="E913" t="s">
        <v>268</v>
      </c>
      <c r="F913" t="s">
        <v>341</v>
      </c>
      <c r="G913" t="s">
        <v>204</v>
      </c>
      <c r="H913" t="s">
        <v>22</v>
      </c>
      <c r="I913" t="s">
        <v>23</v>
      </c>
      <c r="J913" s="1">
        <v>865446</v>
      </c>
      <c r="K913" t="s">
        <v>2579</v>
      </c>
      <c r="L913" t="s">
        <v>2671</v>
      </c>
      <c r="M913" t="s">
        <v>1373</v>
      </c>
      <c r="N913">
        <v>2</v>
      </c>
      <c r="O913">
        <v>165596.5</v>
      </c>
    </row>
    <row r="914" spans="1:15" x14ac:dyDescent="0.35">
      <c r="A914" t="s">
        <v>15</v>
      </c>
      <c r="B914" t="s">
        <v>16</v>
      </c>
      <c r="C914" t="s">
        <v>36</v>
      </c>
      <c r="D914" t="s">
        <v>1736</v>
      </c>
      <c r="E914" t="s">
        <v>743</v>
      </c>
      <c r="F914" t="s">
        <v>399</v>
      </c>
      <c r="G914" t="s">
        <v>412</v>
      </c>
      <c r="H914" t="s">
        <v>41</v>
      </c>
      <c r="I914" t="s">
        <v>23</v>
      </c>
      <c r="J914" s="1">
        <v>258820</v>
      </c>
      <c r="K914" t="s">
        <v>2513</v>
      </c>
      <c r="L914" t="s">
        <v>2672</v>
      </c>
      <c r="M914" t="s">
        <v>51</v>
      </c>
      <c r="N914">
        <v>5</v>
      </c>
      <c r="O914">
        <v>208825</v>
      </c>
    </row>
    <row r="915" spans="1:15" x14ac:dyDescent="0.35">
      <c r="A915" t="s">
        <v>75</v>
      </c>
      <c r="B915" t="s">
        <v>99</v>
      </c>
      <c r="C915" t="s">
        <v>61</v>
      </c>
      <c r="D915" t="s">
        <v>1802</v>
      </c>
      <c r="E915" t="s">
        <v>128</v>
      </c>
      <c r="F915" t="s">
        <v>513</v>
      </c>
      <c r="G915" t="s">
        <v>1803</v>
      </c>
      <c r="H915" t="s">
        <v>41</v>
      </c>
      <c r="I915" t="s">
        <v>23</v>
      </c>
      <c r="J915" s="1">
        <v>492205</v>
      </c>
      <c r="K915" t="s">
        <v>2563</v>
      </c>
      <c r="L915" t="s">
        <v>2673</v>
      </c>
      <c r="M915" t="s">
        <v>81</v>
      </c>
      <c r="N915">
        <v>22</v>
      </c>
      <c r="O915">
        <v>18490.5</v>
      </c>
    </row>
    <row r="916" spans="1:15" x14ac:dyDescent="0.35">
      <c r="A916" t="s">
        <v>15</v>
      </c>
      <c r="B916" t="s">
        <v>16</v>
      </c>
      <c r="C916" t="s">
        <v>82</v>
      </c>
      <c r="D916" t="s">
        <v>1600</v>
      </c>
      <c r="E916" t="s">
        <v>2674</v>
      </c>
      <c r="F916" t="s">
        <v>399</v>
      </c>
      <c r="G916" t="s">
        <v>1236</v>
      </c>
      <c r="H916" t="s">
        <v>41</v>
      </c>
      <c r="I916" t="s">
        <v>58</v>
      </c>
      <c r="J916" s="1">
        <v>263570</v>
      </c>
      <c r="K916" t="s">
        <v>2675</v>
      </c>
      <c r="L916" t="s">
        <v>2676</v>
      </c>
      <c r="M916" t="s">
        <v>2677</v>
      </c>
      <c r="N916">
        <v>5</v>
      </c>
      <c r="O916">
        <v>60795</v>
      </c>
    </row>
    <row r="917" spans="1:15" x14ac:dyDescent="0.35">
      <c r="A917" t="s">
        <v>15</v>
      </c>
      <c r="B917" t="s">
        <v>16</v>
      </c>
      <c r="C917" t="s">
        <v>36</v>
      </c>
      <c r="D917" t="s">
        <v>920</v>
      </c>
      <c r="E917" t="s">
        <v>2044</v>
      </c>
      <c r="F917" t="s">
        <v>847</v>
      </c>
      <c r="G917" t="s">
        <v>921</v>
      </c>
      <c r="H917" t="s">
        <v>22</v>
      </c>
      <c r="I917" t="s">
        <v>23</v>
      </c>
      <c r="J917" s="1">
        <v>55130</v>
      </c>
      <c r="K917" t="s">
        <v>2625</v>
      </c>
      <c r="L917" t="s">
        <v>2498</v>
      </c>
      <c r="M917" t="s">
        <v>2046</v>
      </c>
      <c r="N917">
        <v>16</v>
      </c>
      <c r="O917">
        <v>170379</v>
      </c>
    </row>
    <row r="918" spans="1:15" x14ac:dyDescent="0.35">
      <c r="A918" t="s">
        <v>15</v>
      </c>
      <c r="B918" t="s">
        <v>27</v>
      </c>
      <c r="C918" t="s">
        <v>61</v>
      </c>
      <c r="D918" t="s">
        <v>703</v>
      </c>
      <c r="E918" t="s">
        <v>2678</v>
      </c>
      <c r="F918" t="s">
        <v>312</v>
      </c>
      <c r="G918" t="s">
        <v>169</v>
      </c>
      <c r="H918" t="s">
        <v>41</v>
      </c>
      <c r="I918" t="s">
        <v>23</v>
      </c>
      <c r="J918" s="1">
        <v>261030</v>
      </c>
      <c r="K918" t="s">
        <v>2679</v>
      </c>
      <c r="L918" t="s">
        <v>2680</v>
      </c>
      <c r="M918" t="s">
        <v>60</v>
      </c>
      <c r="N918">
        <v>4</v>
      </c>
      <c r="O918">
        <v>9657</v>
      </c>
    </row>
    <row r="919" spans="1:15" x14ac:dyDescent="0.35">
      <c r="A919" t="s">
        <v>15</v>
      </c>
      <c r="B919" t="s">
        <v>16</v>
      </c>
      <c r="C919" t="s">
        <v>36</v>
      </c>
      <c r="D919" t="s">
        <v>18</v>
      </c>
      <c r="E919" t="s">
        <v>2661</v>
      </c>
      <c r="F919" t="s">
        <v>20</v>
      </c>
      <c r="G919" t="s">
        <v>21</v>
      </c>
      <c r="H919" t="s">
        <v>22</v>
      </c>
      <c r="I919" t="s">
        <v>23</v>
      </c>
      <c r="J919" t="s">
        <v>2500</v>
      </c>
      <c r="K919" t="s">
        <v>23</v>
      </c>
      <c r="L919" t="s">
        <v>2681</v>
      </c>
      <c r="M919" t="s">
        <v>2127</v>
      </c>
      <c r="N919">
        <v>17</v>
      </c>
      <c r="O919">
        <v>197331</v>
      </c>
    </row>
    <row r="920" spans="1:15" x14ac:dyDescent="0.35">
      <c r="A920" t="s">
        <v>15</v>
      </c>
      <c r="B920" t="s">
        <v>16</v>
      </c>
      <c r="C920" t="s">
        <v>36</v>
      </c>
      <c r="D920" t="s">
        <v>371</v>
      </c>
      <c r="E920" t="s">
        <v>2682</v>
      </c>
      <c r="F920" t="s">
        <v>847</v>
      </c>
      <c r="G920" t="s">
        <v>204</v>
      </c>
      <c r="H920" t="s">
        <v>22</v>
      </c>
      <c r="I920" t="s">
        <v>23</v>
      </c>
      <c r="J920" s="1">
        <v>865476</v>
      </c>
      <c r="K920" t="s">
        <v>2520</v>
      </c>
      <c r="L920" t="s">
        <v>2683</v>
      </c>
      <c r="M920" t="s">
        <v>2684</v>
      </c>
      <c r="N920">
        <v>16</v>
      </c>
      <c r="O920">
        <v>167431</v>
      </c>
    </row>
    <row r="921" spans="1:15" x14ac:dyDescent="0.35">
      <c r="A921" t="s">
        <v>15</v>
      </c>
      <c r="B921" t="s">
        <v>16</v>
      </c>
      <c r="C921" t="s">
        <v>61</v>
      </c>
      <c r="D921" t="s">
        <v>1600</v>
      </c>
      <c r="E921" t="s">
        <v>2685</v>
      </c>
      <c r="F921" t="s">
        <v>939</v>
      </c>
      <c r="G921" t="s">
        <v>1236</v>
      </c>
      <c r="H921" t="s">
        <v>41</v>
      </c>
      <c r="I921" t="s">
        <v>58</v>
      </c>
      <c r="J921" s="1">
        <v>263580</v>
      </c>
      <c r="K921" t="s">
        <v>2686</v>
      </c>
      <c r="L921" t="s">
        <v>2687</v>
      </c>
      <c r="M921" t="s">
        <v>2688</v>
      </c>
      <c r="N921">
        <v>4</v>
      </c>
      <c r="O921">
        <v>102376</v>
      </c>
    </row>
    <row r="922" spans="1:15" x14ac:dyDescent="0.35">
      <c r="A922" t="s">
        <v>15</v>
      </c>
      <c r="B922" t="s">
        <v>16</v>
      </c>
      <c r="C922" t="s">
        <v>17</v>
      </c>
      <c r="D922" t="s">
        <v>45</v>
      </c>
      <c r="E922" t="s">
        <v>776</v>
      </c>
      <c r="F922" t="s">
        <v>39</v>
      </c>
      <c r="G922" t="s">
        <v>48</v>
      </c>
      <c r="H922" t="s">
        <v>41</v>
      </c>
      <c r="I922" t="s">
        <v>23</v>
      </c>
      <c r="J922" s="1">
        <v>34670</v>
      </c>
      <c r="K922" t="s">
        <v>2582</v>
      </c>
      <c r="L922" t="s">
        <v>2689</v>
      </c>
      <c r="M922" t="s">
        <v>475</v>
      </c>
      <c r="O922">
        <v>154710</v>
      </c>
    </row>
    <row r="923" spans="1:15" x14ac:dyDescent="0.35">
      <c r="A923" t="s">
        <v>15</v>
      </c>
      <c r="B923" t="s">
        <v>16</v>
      </c>
      <c r="C923" t="s">
        <v>36</v>
      </c>
      <c r="D923" t="s">
        <v>1736</v>
      </c>
      <c r="E923" t="s">
        <v>2690</v>
      </c>
      <c r="F923" t="s">
        <v>237</v>
      </c>
      <c r="G923" t="s">
        <v>412</v>
      </c>
      <c r="H923" t="s">
        <v>41</v>
      </c>
      <c r="I923" t="s">
        <v>23</v>
      </c>
      <c r="J923" s="1">
        <v>258790</v>
      </c>
      <c r="K923" t="s">
        <v>2612</v>
      </c>
      <c r="L923" t="s">
        <v>2691</v>
      </c>
      <c r="M923" t="s">
        <v>118</v>
      </c>
      <c r="N923">
        <v>20</v>
      </c>
      <c r="O923">
        <v>224472</v>
      </c>
    </row>
    <row r="924" spans="1:15" x14ac:dyDescent="0.35">
      <c r="A924" t="s">
        <v>15</v>
      </c>
      <c r="B924" t="s">
        <v>16</v>
      </c>
      <c r="C924" t="s">
        <v>36</v>
      </c>
      <c r="D924" t="s">
        <v>371</v>
      </c>
      <c r="E924" t="s">
        <v>2692</v>
      </c>
      <c r="F924" t="s">
        <v>196</v>
      </c>
      <c r="G924" t="s">
        <v>204</v>
      </c>
      <c r="H924" t="s">
        <v>22</v>
      </c>
      <c r="I924" t="s">
        <v>23</v>
      </c>
      <c r="J924" s="1">
        <v>865426</v>
      </c>
      <c r="K924" t="s">
        <v>2641</v>
      </c>
      <c r="L924" t="s">
        <v>2693</v>
      </c>
      <c r="M924" t="s">
        <v>2648</v>
      </c>
      <c r="N924">
        <v>7</v>
      </c>
      <c r="O924">
        <v>151797.5</v>
      </c>
    </row>
    <row r="925" spans="1:15" x14ac:dyDescent="0.35">
      <c r="A925" t="s">
        <v>15</v>
      </c>
      <c r="B925" t="s">
        <v>16</v>
      </c>
      <c r="C925" t="s">
        <v>36</v>
      </c>
      <c r="D925" t="s">
        <v>1531</v>
      </c>
      <c r="E925" t="s">
        <v>165</v>
      </c>
      <c r="F925" t="s">
        <v>399</v>
      </c>
      <c r="G925" t="s">
        <v>412</v>
      </c>
      <c r="H925" t="s">
        <v>41</v>
      </c>
      <c r="I925" t="s">
        <v>23</v>
      </c>
      <c r="J925" s="1">
        <v>17020</v>
      </c>
      <c r="K925" t="s">
        <v>2630</v>
      </c>
      <c r="L925" t="s">
        <v>2694</v>
      </c>
      <c r="M925" t="s">
        <v>118</v>
      </c>
      <c r="N925">
        <v>5</v>
      </c>
      <c r="O925">
        <v>168122</v>
      </c>
    </row>
    <row r="926" spans="1:15" x14ac:dyDescent="0.35">
      <c r="A926" t="s">
        <v>15</v>
      </c>
      <c r="B926" t="s">
        <v>16</v>
      </c>
      <c r="C926" t="s">
        <v>36</v>
      </c>
      <c r="D926" t="s">
        <v>601</v>
      </c>
      <c r="E926" t="s">
        <v>2249</v>
      </c>
      <c r="F926" t="s">
        <v>85</v>
      </c>
      <c r="G926" t="s">
        <v>65</v>
      </c>
      <c r="H926" t="s">
        <v>57</v>
      </c>
      <c r="I926" t="s">
        <v>23</v>
      </c>
      <c r="J926" s="1">
        <v>290780</v>
      </c>
      <c r="K926" t="s">
        <v>2695</v>
      </c>
      <c r="L926" t="s">
        <v>2696</v>
      </c>
      <c r="M926" t="s">
        <v>2697</v>
      </c>
      <c r="N926">
        <v>6</v>
      </c>
      <c r="O926">
        <v>163154</v>
      </c>
    </row>
    <row r="927" spans="1:15" x14ac:dyDescent="0.35">
      <c r="A927" t="s">
        <v>15</v>
      </c>
      <c r="B927" t="s">
        <v>99</v>
      </c>
      <c r="C927" t="s">
        <v>36</v>
      </c>
      <c r="D927" t="s">
        <v>601</v>
      </c>
      <c r="E927" t="s">
        <v>602</v>
      </c>
      <c r="F927" t="s">
        <v>85</v>
      </c>
      <c r="G927" t="s">
        <v>65</v>
      </c>
      <c r="H927" t="s">
        <v>57</v>
      </c>
      <c r="I927" t="s">
        <v>23</v>
      </c>
      <c r="J927" s="1">
        <v>290800</v>
      </c>
      <c r="K927" t="s">
        <v>2698</v>
      </c>
      <c r="L927" t="s">
        <v>2699</v>
      </c>
      <c r="M927" t="s">
        <v>2700</v>
      </c>
      <c r="N927">
        <v>6</v>
      </c>
      <c r="O927">
        <v>160993</v>
      </c>
    </row>
    <row r="928" spans="1:15" x14ac:dyDescent="0.35">
      <c r="A928" t="s">
        <v>2258</v>
      </c>
      <c r="B928" t="s">
        <v>16</v>
      </c>
      <c r="C928" t="s">
        <v>61</v>
      </c>
      <c r="D928" t="s">
        <v>371</v>
      </c>
      <c r="E928" t="s">
        <v>2701</v>
      </c>
      <c r="F928" t="s">
        <v>431</v>
      </c>
      <c r="G928" t="s">
        <v>204</v>
      </c>
      <c r="H928" t="s">
        <v>22</v>
      </c>
      <c r="I928" t="s">
        <v>23</v>
      </c>
      <c r="J928" s="1">
        <v>865426</v>
      </c>
      <c r="K928" t="s">
        <v>2520</v>
      </c>
      <c r="L928" t="s">
        <v>2702</v>
      </c>
      <c r="M928" t="s">
        <v>2703</v>
      </c>
      <c r="N928">
        <v>21</v>
      </c>
      <c r="O928">
        <v>126909.5</v>
      </c>
    </row>
    <row r="929" spans="1:15" x14ac:dyDescent="0.35">
      <c r="A929" t="s">
        <v>15</v>
      </c>
      <c r="B929" t="s">
        <v>99</v>
      </c>
      <c r="C929" t="s">
        <v>36</v>
      </c>
      <c r="D929" t="s">
        <v>664</v>
      </c>
      <c r="E929" t="s">
        <v>855</v>
      </c>
      <c r="F929" t="s">
        <v>113</v>
      </c>
      <c r="G929" t="s">
        <v>79</v>
      </c>
      <c r="H929" t="s">
        <v>41</v>
      </c>
      <c r="I929" t="s">
        <v>23</v>
      </c>
      <c r="J929" s="1">
        <v>94580</v>
      </c>
      <c r="K929" t="s">
        <v>2549</v>
      </c>
      <c r="L929" t="s">
        <v>2704</v>
      </c>
      <c r="M929" t="s">
        <v>118</v>
      </c>
      <c r="N929">
        <v>19</v>
      </c>
      <c r="O929">
        <v>190887.5</v>
      </c>
    </row>
    <row r="930" spans="1:15" x14ac:dyDescent="0.35">
      <c r="A930" t="s">
        <v>15</v>
      </c>
      <c r="B930" t="s">
        <v>16</v>
      </c>
      <c r="C930" t="s">
        <v>36</v>
      </c>
      <c r="D930" t="s">
        <v>18</v>
      </c>
      <c r="E930" t="s">
        <v>2049</v>
      </c>
      <c r="F930" t="s">
        <v>20</v>
      </c>
      <c r="G930" t="s">
        <v>21</v>
      </c>
      <c r="H930" t="s">
        <v>22</v>
      </c>
      <c r="I930" t="s">
        <v>23</v>
      </c>
      <c r="J930" t="s">
        <v>2500</v>
      </c>
      <c r="K930" t="s">
        <v>23</v>
      </c>
      <c r="L930" t="s">
        <v>2705</v>
      </c>
      <c r="M930" t="s">
        <v>2127</v>
      </c>
      <c r="N930">
        <v>17</v>
      </c>
      <c r="O930">
        <v>197329</v>
      </c>
    </row>
    <row r="931" spans="1:15" x14ac:dyDescent="0.35">
      <c r="A931" t="s">
        <v>75</v>
      </c>
      <c r="B931" t="s">
        <v>16</v>
      </c>
      <c r="C931" t="s">
        <v>36</v>
      </c>
      <c r="D931" t="s">
        <v>371</v>
      </c>
      <c r="E931" t="s">
        <v>268</v>
      </c>
      <c r="F931" t="s">
        <v>85</v>
      </c>
      <c r="G931" t="s">
        <v>204</v>
      </c>
      <c r="H931" t="s">
        <v>22</v>
      </c>
      <c r="I931" t="s">
        <v>23</v>
      </c>
      <c r="J931" s="1">
        <v>865436</v>
      </c>
      <c r="K931" t="s">
        <v>2587</v>
      </c>
      <c r="L931" t="s">
        <v>2706</v>
      </c>
      <c r="M931" t="s">
        <v>1326</v>
      </c>
      <c r="N931">
        <v>6</v>
      </c>
      <c r="O931">
        <v>165590.5</v>
      </c>
    </row>
    <row r="932" spans="1:15" x14ac:dyDescent="0.35">
      <c r="A932" t="s">
        <v>75</v>
      </c>
      <c r="B932" t="s">
        <v>99</v>
      </c>
      <c r="C932" t="s">
        <v>61</v>
      </c>
      <c r="D932" t="s">
        <v>1802</v>
      </c>
      <c r="E932" t="s">
        <v>2601</v>
      </c>
      <c r="F932" t="s">
        <v>431</v>
      </c>
      <c r="G932" t="s">
        <v>1803</v>
      </c>
      <c r="H932" t="s">
        <v>41</v>
      </c>
      <c r="I932" t="s">
        <v>23</v>
      </c>
      <c r="J932" s="1">
        <v>492245</v>
      </c>
      <c r="K932" t="s">
        <v>2707</v>
      </c>
      <c r="L932" t="s">
        <v>2708</v>
      </c>
      <c r="M932" t="s">
        <v>81</v>
      </c>
      <c r="N932">
        <v>21</v>
      </c>
      <c r="O932">
        <v>18488.5</v>
      </c>
    </row>
    <row r="933" spans="1:15" x14ac:dyDescent="0.35">
      <c r="A933" t="s">
        <v>15</v>
      </c>
      <c r="B933" t="s">
        <v>99</v>
      </c>
      <c r="C933" t="s">
        <v>61</v>
      </c>
      <c r="D933" t="s">
        <v>2401</v>
      </c>
      <c r="E933" t="s">
        <v>646</v>
      </c>
      <c r="F933" t="s">
        <v>39</v>
      </c>
      <c r="G933" t="s">
        <v>2403</v>
      </c>
      <c r="H933" t="s">
        <v>41</v>
      </c>
      <c r="I933" t="s">
        <v>58</v>
      </c>
      <c r="J933" s="1">
        <v>110010</v>
      </c>
      <c r="K933" t="s">
        <v>2709</v>
      </c>
      <c r="L933" t="s">
        <v>2710</v>
      </c>
      <c r="M933" t="s">
        <v>118</v>
      </c>
      <c r="O933">
        <v>80543.5</v>
      </c>
    </row>
    <row r="934" spans="1:15" x14ac:dyDescent="0.35">
      <c r="A934" t="s">
        <v>15</v>
      </c>
      <c r="B934" t="s">
        <v>16</v>
      </c>
      <c r="C934" t="s">
        <v>17</v>
      </c>
      <c r="D934" t="s">
        <v>18</v>
      </c>
      <c r="E934" t="s">
        <v>1912</v>
      </c>
      <c r="F934" t="s">
        <v>1149</v>
      </c>
      <c r="G934" t="s">
        <v>21</v>
      </c>
      <c r="H934" t="s">
        <v>22</v>
      </c>
      <c r="I934" t="s">
        <v>23</v>
      </c>
      <c r="J934" t="s">
        <v>2500</v>
      </c>
      <c r="K934" t="s">
        <v>23</v>
      </c>
      <c r="L934" t="s">
        <v>2711</v>
      </c>
      <c r="M934" t="s">
        <v>2712</v>
      </c>
      <c r="N934">
        <v>18</v>
      </c>
      <c r="O934">
        <v>197327</v>
      </c>
    </row>
    <row r="935" spans="1:15" x14ac:dyDescent="0.35">
      <c r="A935" t="s">
        <v>15</v>
      </c>
      <c r="B935" t="s">
        <v>16</v>
      </c>
      <c r="C935" t="s">
        <v>61</v>
      </c>
      <c r="D935" t="s">
        <v>1531</v>
      </c>
      <c r="E935" t="s">
        <v>743</v>
      </c>
      <c r="F935" t="s">
        <v>47</v>
      </c>
      <c r="G935" t="s">
        <v>412</v>
      </c>
      <c r="H935" t="s">
        <v>41</v>
      </c>
      <c r="I935" t="s">
        <v>23</v>
      </c>
      <c r="J935" s="1">
        <v>17050</v>
      </c>
      <c r="K935" t="s">
        <v>2542</v>
      </c>
      <c r="L935" t="s">
        <v>2557</v>
      </c>
      <c r="M935" t="s">
        <v>1969</v>
      </c>
      <c r="N935">
        <v>8</v>
      </c>
      <c r="O935">
        <v>170195</v>
      </c>
    </row>
    <row r="936" spans="1:15" x14ac:dyDescent="0.35">
      <c r="A936" t="s">
        <v>15</v>
      </c>
      <c r="B936" t="s">
        <v>16</v>
      </c>
      <c r="C936" t="s">
        <v>36</v>
      </c>
      <c r="D936" t="s">
        <v>1736</v>
      </c>
      <c r="E936" t="s">
        <v>2713</v>
      </c>
      <c r="F936" t="s">
        <v>30</v>
      </c>
      <c r="G936" t="s">
        <v>412</v>
      </c>
      <c r="H936" t="s">
        <v>41</v>
      </c>
      <c r="I936" t="s">
        <v>23</v>
      </c>
      <c r="J936" s="1">
        <v>258790</v>
      </c>
      <c r="K936" t="s">
        <v>2714</v>
      </c>
      <c r="L936" t="s">
        <v>2715</v>
      </c>
      <c r="M936" t="s">
        <v>402</v>
      </c>
      <c r="N936">
        <v>15</v>
      </c>
      <c r="O936">
        <v>157769</v>
      </c>
    </row>
    <row r="937" spans="1:15" x14ac:dyDescent="0.35">
      <c r="A937" t="s">
        <v>15</v>
      </c>
      <c r="B937" t="s">
        <v>16</v>
      </c>
      <c r="C937" t="s">
        <v>17</v>
      </c>
      <c r="D937" t="s">
        <v>45</v>
      </c>
      <c r="E937" t="s">
        <v>335</v>
      </c>
      <c r="F937" t="s">
        <v>47</v>
      </c>
      <c r="G937" t="s">
        <v>48</v>
      </c>
      <c r="H937" t="s">
        <v>41</v>
      </c>
      <c r="I937" t="s">
        <v>23</v>
      </c>
      <c r="J937" s="1">
        <v>34650</v>
      </c>
      <c r="K937" t="s">
        <v>2716</v>
      </c>
      <c r="L937" t="s">
        <v>2717</v>
      </c>
      <c r="M937" t="s">
        <v>110</v>
      </c>
      <c r="N937">
        <v>8</v>
      </c>
      <c r="O937">
        <v>35932.5</v>
      </c>
    </row>
    <row r="938" spans="1:15" x14ac:dyDescent="0.35">
      <c r="A938" t="s">
        <v>15</v>
      </c>
      <c r="B938" t="s">
        <v>16</v>
      </c>
      <c r="C938" t="s">
        <v>61</v>
      </c>
      <c r="D938" t="s">
        <v>445</v>
      </c>
      <c r="E938" t="s">
        <v>128</v>
      </c>
      <c r="F938" t="s">
        <v>89</v>
      </c>
      <c r="G938" t="s">
        <v>446</v>
      </c>
      <c r="H938" t="s">
        <v>41</v>
      </c>
      <c r="I938" t="s">
        <v>23</v>
      </c>
      <c r="J938" s="1">
        <v>524598</v>
      </c>
      <c r="K938" t="s">
        <v>2718</v>
      </c>
      <c r="L938" t="s">
        <v>2719</v>
      </c>
      <c r="M938" t="s">
        <v>2720</v>
      </c>
      <c r="O938">
        <v>43184</v>
      </c>
    </row>
    <row r="939" spans="1:15" x14ac:dyDescent="0.35">
      <c r="A939" t="s">
        <v>75</v>
      </c>
      <c r="B939" t="s">
        <v>16</v>
      </c>
      <c r="C939" t="s">
        <v>61</v>
      </c>
      <c r="D939" t="s">
        <v>371</v>
      </c>
      <c r="E939" t="s">
        <v>2721</v>
      </c>
      <c r="F939" t="s">
        <v>39</v>
      </c>
      <c r="G939" t="s">
        <v>204</v>
      </c>
      <c r="H939" t="s">
        <v>22</v>
      </c>
      <c r="I939" t="s">
        <v>23</v>
      </c>
      <c r="J939" s="1">
        <v>865456</v>
      </c>
      <c r="K939" t="s">
        <v>2537</v>
      </c>
      <c r="L939" t="s">
        <v>2722</v>
      </c>
      <c r="M939" t="s">
        <v>1326</v>
      </c>
      <c r="O939">
        <v>64290</v>
      </c>
    </row>
    <row r="940" spans="1:15" x14ac:dyDescent="0.35">
      <c r="A940" t="s">
        <v>15</v>
      </c>
      <c r="B940" t="s">
        <v>99</v>
      </c>
      <c r="C940" t="s">
        <v>36</v>
      </c>
      <c r="D940" t="s">
        <v>920</v>
      </c>
      <c r="E940" t="s">
        <v>860</v>
      </c>
      <c r="F940" t="s">
        <v>394</v>
      </c>
      <c r="G940" t="s">
        <v>921</v>
      </c>
      <c r="H940" t="s">
        <v>22</v>
      </c>
      <c r="I940" t="s">
        <v>23</v>
      </c>
      <c r="J940" s="1">
        <v>55150</v>
      </c>
      <c r="K940" t="s">
        <v>2723</v>
      </c>
      <c r="L940" t="s">
        <v>2724</v>
      </c>
      <c r="M940" t="s">
        <v>924</v>
      </c>
      <c r="N940">
        <v>11</v>
      </c>
      <c r="O940">
        <v>156207</v>
      </c>
    </row>
    <row r="941" spans="1:15" x14ac:dyDescent="0.35">
      <c r="A941" t="s">
        <v>15</v>
      </c>
      <c r="B941" t="s">
        <v>99</v>
      </c>
      <c r="C941" t="s">
        <v>36</v>
      </c>
      <c r="D941" t="s">
        <v>920</v>
      </c>
      <c r="E941" t="s">
        <v>63</v>
      </c>
      <c r="F941" t="s">
        <v>20</v>
      </c>
      <c r="G941" t="s">
        <v>921</v>
      </c>
      <c r="H941" t="s">
        <v>22</v>
      </c>
      <c r="I941" t="s">
        <v>23</v>
      </c>
      <c r="J941" s="1">
        <v>55110</v>
      </c>
      <c r="K941" t="s">
        <v>2540</v>
      </c>
      <c r="L941" t="s">
        <v>2725</v>
      </c>
      <c r="M941" t="s">
        <v>1726</v>
      </c>
      <c r="N941">
        <v>17</v>
      </c>
      <c r="O941">
        <v>170372</v>
      </c>
    </row>
    <row r="942" spans="1:15" x14ac:dyDescent="0.35">
      <c r="A942" t="s">
        <v>15</v>
      </c>
      <c r="B942" t="s">
        <v>16</v>
      </c>
      <c r="C942" t="s">
        <v>36</v>
      </c>
      <c r="D942" t="s">
        <v>1531</v>
      </c>
      <c r="E942" t="s">
        <v>248</v>
      </c>
      <c r="F942" t="s">
        <v>47</v>
      </c>
      <c r="G942" t="s">
        <v>412</v>
      </c>
      <c r="H942" t="s">
        <v>41</v>
      </c>
      <c r="I942" t="s">
        <v>23</v>
      </c>
      <c r="J942" s="1">
        <v>17040</v>
      </c>
      <c r="K942" t="s">
        <v>2621</v>
      </c>
      <c r="L942" t="s">
        <v>2726</v>
      </c>
      <c r="M942" t="s">
        <v>2727</v>
      </c>
      <c r="N942">
        <v>8</v>
      </c>
      <c r="O942">
        <v>198706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6736F-87D4-4309-B9CC-1A723C13E869}">
  <dimension ref="A1:O942"/>
  <sheetViews>
    <sheetView topLeftCell="J1" workbookViewId="0">
      <selection activeCell="N4" sqref="N4"/>
    </sheetView>
  </sheetViews>
  <sheetFormatPr defaultRowHeight="14.5" x14ac:dyDescent="0.35"/>
  <cols>
    <col min="1" max="1" width="9.6328125" customWidth="1"/>
    <col min="2" max="2" width="14.90625" customWidth="1"/>
    <col min="4" max="4" width="10.54296875" customWidth="1"/>
    <col min="5" max="5" width="9.6328125" customWidth="1"/>
    <col min="6" max="6" width="11" customWidth="1"/>
    <col min="7" max="7" width="13.08984375" customWidth="1"/>
    <col min="8" max="8" width="9.7265625" customWidth="1"/>
    <col min="9" max="9" width="11.54296875" customWidth="1"/>
    <col min="10" max="10" width="14.6328125" customWidth="1"/>
    <col min="11" max="11" width="9.54296875" customWidth="1"/>
    <col min="14" max="14" width="10.453125" customWidth="1"/>
    <col min="15" max="15" width="15.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t="s">
        <v>20</v>
      </c>
      <c r="G2" t="s">
        <v>21</v>
      </c>
      <c r="H2" t="s">
        <v>22</v>
      </c>
      <c r="I2" t="s">
        <v>23</v>
      </c>
      <c r="J2" t="s">
        <v>24</v>
      </c>
      <c r="K2" t="s">
        <v>23</v>
      </c>
      <c r="L2" t="s">
        <v>25</v>
      </c>
      <c r="M2" t="s">
        <v>26</v>
      </c>
      <c r="N2">
        <v>17</v>
      </c>
      <c r="O2">
        <v>150705</v>
      </c>
    </row>
    <row r="3" spans="1:15" x14ac:dyDescent="0.35">
      <c r="A3" t="s">
        <v>15</v>
      </c>
      <c r="B3" t="s">
        <v>27</v>
      </c>
      <c r="C3" t="s">
        <v>17</v>
      </c>
      <c r="D3" t="s">
        <v>28</v>
      </c>
      <c r="E3" t="s">
        <v>29</v>
      </c>
      <c r="F3" t="s">
        <v>30</v>
      </c>
      <c r="G3" t="s">
        <v>31</v>
      </c>
      <c r="H3" t="s">
        <v>32</v>
      </c>
      <c r="I3" t="s">
        <v>23</v>
      </c>
      <c r="J3" s="1">
        <v>155030</v>
      </c>
      <c r="K3" t="s">
        <v>33</v>
      </c>
      <c r="L3" t="s">
        <v>34</v>
      </c>
      <c r="M3" t="s">
        <v>35</v>
      </c>
      <c r="N3">
        <v>15</v>
      </c>
      <c r="O3">
        <v>118733</v>
      </c>
    </row>
    <row r="4" spans="1:15" x14ac:dyDescent="0.35">
      <c r="A4" t="s">
        <v>15</v>
      </c>
      <c r="B4" t="s">
        <v>16</v>
      </c>
      <c r="C4" t="s">
        <v>36</v>
      </c>
      <c r="D4" t="s">
        <v>37</v>
      </c>
      <c r="E4" t="s">
        <v>38</v>
      </c>
      <c r="F4" t="s">
        <v>39</v>
      </c>
      <c r="G4" t="s">
        <v>40</v>
      </c>
      <c r="H4" t="s">
        <v>41</v>
      </c>
      <c r="I4" t="s">
        <v>23</v>
      </c>
      <c r="J4" s="1">
        <v>25930</v>
      </c>
      <c r="K4" t="s">
        <v>42</v>
      </c>
      <c r="L4" t="s">
        <v>43</v>
      </c>
      <c r="M4" t="s">
        <v>44</v>
      </c>
      <c r="O4">
        <v>127273</v>
      </c>
    </row>
    <row r="5" spans="1:15" x14ac:dyDescent="0.35">
      <c r="A5" t="s">
        <v>15</v>
      </c>
      <c r="B5" t="s">
        <v>16</v>
      </c>
      <c r="C5" t="s">
        <v>17</v>
      </c>
      <c r="D5" t="s">
        <v>45</v>
      </c>
      <c r="E5" t="s">
        <v>46</v>
      </c>
      <c r="F5" t="s">
        <v>47</v>
      </c>
      <c r="G5" t="s">
        <v>48</v>
      </c>
      <c r="H5" t="s">
        <v>41</v>
      </c>
      <c r="I5" t="s">
        <v>23</v>
      </c>
      <c r="J5" s="1">
        <v>34690</v>
      </c>
      <c r="K5" t="s">
        <v>49</v>
      </c>
      <c r="L5" t="s">
        <v>50</v>
      </c>
      <c r="M5" t="s">
        <v>51</v>
      </c>
      <c r="N5">
        <v>8</v>
      </c>
      <c r="O5">
        <v>153599.5</v>
      </c>
    </row>
    <row r="6" spans="1:15" x14ac:dyDescent="0.35">
      <c r="A6" t="s">
        <v>15</v>
      </c>
      <c r="B6" t="s">
        <v>52</v>
      </c>
      <c r="C6" t="s">
        <v>36</v>
      </c>
      <c r="D6" t="s">
        <v>53</v>
      </c>
      <c r="E6" t="s">
        <v>54</v>
      </c>
      <c r="F6" t="s">
        <v>55</v>
      </c>
      <c r="G6" t="s">
        <v>56</v>
      </c>
      <c r="H6" t="s">
        <v>57</v>
      </c>
      <c r="I6" t="s">
        <v>58</v>
      </c>
      <c r="J6" s="1">
        <v>1800</v>
      </c>
      <c r="K6" t="s">
        <v>58</v>
      </c>
      <c r="L6" t="s">
        <v>59</v>
      </c>
      <c r="M6" t="s">
        <v>60</v>
      </c>
      <c r="N6">
        <v>3</v>
      </c>
      <c r="O6">
        <v>171254.5</v>
      </c>
    </row>
    <row r="7" spans="1:15" x14ac:dyDescent="0.35">
      <c r="A7" t="s">
        <v>15</v>
      </c>
      <c r="B7" t="s">
        <v>27</v>
      </c>
      <c r="C7" t="s">
        <v>61</v>
      </c>
      <c r="D7" t="s">
        <v>62</v>
      </c>
      <c r="E7" t="s">
        <v>63</v>
      </c>
      <c r="F7" t="s">
        <v>64</v>
      </c>
      <c r="G7" t="s">
        <v>65</v>
      </c>
      <c r="H7" t="s">
        <v>41</v>
      </c>
      <c r="I7" t="s">
        <v>58</v>
      </c>
      <c r="J7">
        <v>150</v>
      </c>
      <c r="K7" t="s">
        <v>66</v>
      </c>
      <c r="L7" t="s">
        <v>67</v>
      </c>
      <c r="M7" t="s">
        <v>68</v>
      </c>
      <c r="N7">
        <v>3</v>
      </c>
      <c r="O7">
        <v>223770.5</v>
      </c>
    </row>
    <row r="8" spans="1:15" x14ac:dyDescent="0.35">
      <c r="A8" t="s">
        <v>15</v>
      </c>
      <c r="B8" t="s">
        <v>69</v>
      </c>
      <c r="C8" t="s">
        <v>61</v>
      </c>
      <c r="D8" t="s">
        <v>70</v>
      </c>
      <c r="E8" t="s">
        <v>71</v>
      </c>
      <c r="F8" t="s">
        <v>30</v>
      </c>
      <c r="G8" t="s">
        <v>72</v>
      </c>
      <c r="H8" t="s">
        <v>73</v>
      </c>
      <c r="I8" t="s">
        <v>61</v>
      </c>
      <c r="J8" s="1">
        <v>17471</v>
      </c>
      <c r="K8" t="s">
        <v>73</v>
      </c>
      <c r="L8" t="s">
        <v>74</v>
      </c>
      <c r="M8" t="s">
        <v>60</v>
      </c>
      <c r="N8">
        <v>15</v>
      </c>
      <c r="O8">
        <v>60737</v>
      </c>
    </row>
    <row r="9" spans="1:15" x14ac:dyDescent="0.35">
      <c r="A9" t="s">
        <v>75</v>
      </c>
      <c r="B9" t="s">
        <v>16</v>
      </c>
      <c r="C9" t="s">
        <v>36</v>
      </c>
      <c r="D9" t="s">
        <v>76</v>
      </c>
      <c r="E9" t="s">
        <v>77</v>
      </c>
      <c r="F9" t="s">
        <v>78</v>
      </c>
      <c r="G9" t="s">
        <v>79</v>
      </c>
      <c r="H9" t="s">
        <v>41</v>
      </c>
      <c r="I9" t="s">
        <v>23</v>
      </c>
      <c r="J9">
        <v>900</v>
      </c>
      <c r="K9" t="s">
        <v>23</v>
      </c>
      <c r="L9" t="s">
        <v>80</v>
      </c>
      <c r="M9" t="s">
        <v>81</v>
      </c>
      <c r="N9">
        <v>9</v>
      </c>
      <c r="O9">
        <v>126960</v>
      </c>
    </row>
    <row r="10" spans="1:15" x14ac:dyDescent="0.35">
      <c r="A10" t="s">
        <v>15</v>
      </c>
      <c r="B10" t="s">
        <v>16</v>
      </c>
      <c r="C10" t="s">
        <v>82</v>
      </c>
      <c r="D10" t="s">
        <v>83</v>
      </c>
      <c r="E10" t="s">
        <v>84</v>
      </c>
      <c r="F10" t="s">
        <v>85</v>
      </c>
      <c r="G10" t="s">
        <v>86</v>
      </c>
      <c r="H10" t="s">
        <v>41</v>
      </c>
      <c r="I10" t="s">
        <v>58</v>
      </c>
      <c r="J10">
        <v>126</v>
      </c>
      <c r="K10" t="s">
        <v>58</v>
      </c>
      <c r="L10" t="s">
        <v>87</v>
      </c>
      <c r="M10" t="s">
        <v>60</v>
      </c>
      <c r="N10">
        <v>6</v>
      </c>
      <c r="O10">
        <v>207331</v>
      </c>
    </row>
    <row r="11" spans="1:15" x14ac:dyDescent="0.35">
      <c r="A11" t="s">
        <v>15</v>
      </c>
      <c r="B11" t="s">
        <v>16</v>
      </c>
      <c r="C11" t="s">
        <v>36</v>
      </c>
      <c r="D11" t="s">
        <v>88</v>
      </c>
      <c r="E11" t="s">
        <v>54</v>
      </c>
      <c r="F11" t="s">
        <v>89</v>
      </c>
      <c r="G11" t="s">
        <v>90</v>
      </c>
      <c r="H11" t="s">
        <v>41</v>
      </c>
      <c r="I11" t="s">
        <v>23</v>
      </c>
      <c r="J11" s="1">
        <v>5520</v>
      </c>
      <c r="K11" t="s">
        <v>91</v>
      </c>
      <c r="L11" t="s">
        <v>92</v>
      </c>
      <c r="M11" t="s">
        <v>60</v>
      </c>
      <c r="O11">
        <v>219201</v>
      </c>
    </row>
    <row r="12" spans="1:15" x14ac:dyDescent="0.35">
      <c r="A12" t="s">
        <v>15</v>
      </c>
      <c r="B12" t="s">
        <v>16</v>
      </c>
      <c r="C12" t="s">
        <v>61</v>
      </c>
      <c r="D12" t="s">
        <v>93</v>
      </c>
      <c r="E12" t="s">
        <v>94</v>
      </c>
      <c r="F12" t="s">
        <v>30</v>
      </c>
      <c r="G12" t="s">
        <v>95</v>
      </c>
      <c r="H12" t="s">
        <v>41</v>
      </c>
      <c r="I12" t="s">
        <v>23</v>
      </c>
      <c r="J12" s="1">
        <v>103010</v>
      </c>
      <c r="K12" t="s">
        <v>96</v>
      </c>
      <c r="L12" t="s">
        <v>97</v>
      </c>
      <c r="M12" t="s">
        <v>98</v>
      </c>
      <c r="N12">
        <v>15</v>
      </c>
      <c r="O12">
        <v>96815</v>
      </c>
    </row>
    <row r="13" spans="1:15" x14ac:dyDescent="0.35">
      <c r="A13" t="s">
        <v>15</v>
      </c>
      <c r="B13" t="s">
        <v>99</v>
      </c>
      <c r="C13" t="s">
        <v>61</v>
      </c>
      <c r="D13" t="s">
        <v>100</v>
      </c>
      <c r="E13" t="s">
        <v>101</v>
      </c>
      <c r="F13" t="s">
        <v>85</v>
      </c>
      <c r="G13" t="s">
        <v>102</v>
      </c>
      <c r="H13" t="s">
        <v>73</v>
      </c>
      <c r="I13" t="s">
        <v>61</v>
      </c>
      <c r="J13">
        <v>240</v>
      </c>
      <c r="K13" t="s">
        <v>73</v>
      </c>
      <c r="L13" t="s">
        <v>103</v>
      </c>
      <c r="M13" t="s">
        <v>104</v>
      </c>
      <c r="N13">
        <v>6</v>
      </c>
      <c r="O13">
        <v>75995</v>
      </c>
    </row>
    <row r="14" spans="1:15" x14ac:dyDescent="0.35">
      <c r="A14" t="s">
        <v>15</v>
      </c>
      <c r="B14" t="s">
        <v>16</v>
      </c>
      <c r="C14" t="s">
        <v>82</v>
      </c>
      <c r="D14" t="s">
        <v>105</v>
      </c>
      <c r="E14" t="s">
        <v>106</v>
      </c>
      <c r="F14" t="s">
        <v>47</v>
      </c>
      <c r="G14" t="s">
        <v>107</v>
      </c>
      <c r="H14" t="s">
        <v>32</v>
      </c>
      <c r="I14" t="s">
        <v>23</v>
      </c>
      <c r="J14" s="1">
        <v>21030</v>
      </c>
      <c r="K14" t="s">
        <v>108</v>
      </c>
      <c r="L14" t="s">
        <v>109</v>
      </c>
      <c r="M14" t="s">
        <v>110</v>
      </c>
      <c r="N14">
        <v>8</v>
      </c>
      <c r="O14">
        <v>132709</v>
      </c>
    </row>
    <row r="15" spans="1:15" x14ac:dyDescent="0.35">
      <c r="A15" t="s">
        <v>15</v>
      </c>
      <c r="B15" t="s">
        <v>16</v>
      </c>
      <c r="C15" t="s">
        <v>36</v>
      </c>
      <c r="D15" t="s">
        <v>111</v>
      </c>
      <c r="E15" t="s">
        <v>112</v>
      </c>
      <c r="F15" t="s">
        <v>113</v>
      </c>
      <c r="G15" t="s">
        <v>114</v>
      </c>
      <c r="H15" t="s">
        <v>115</v>
      </c>
      <c r="I15" t="s">
        <v>23</v>
      </c>
      <c r="J15" s="1">
        <v>128890</v>
      </c>
      <c r="K15" t="s">
        <v>116</v>
      </c>
      <c r="L15" t="s">
        <v>117</v>
      </c>
      <c r="M15" t="s">
        <v>118</v>
      </c>
      <c r="N15">
        <v>19</v>
      </c>
      <c r="O15">
        <v>115083</v>
      </c>
    </row>
    <row r="16" spans="1:15" x14ac:dyDescent="0.35">
      <c r="A16" t="s">
        <v>15</v>
      </c>
      <c r="B16" t="s">
        <v>16</v>
      </c>
      <c r="C16" t="s">
        <v>36</v>
      </c>
      <c r="D16" t="s">
        <v>119</v>
      </c>
      <c r="E16" t="s">
        <v>120</v>
      </c>
      <c r="F16" t="s">
        <v>39</v>
      </c>
      <c r="G16" t="s">
        <v>121</v>
      </c>
      <c r="H16" t="s">
        <v>41</v>
      </c>
      <c r="I16" t="s">
        <v>58</v>
      </c>
      <c r="J16">
        <v>45</v>
      </c>
      <c r="K16" t="s">
        <v>58</v>
      </c>
      <c r="L16" t="s">
        <v>122</v>
      </c>
      <c r="M16" t="s">
        <v>123</v>
      </c>
      <c r="O16">
        <v>139283.5</v>
      </c>
    </row>
    <row r="17" spans="1:15" x14ac:dyDescent="0.35">
      <c r="A17" t="s">
        <v>15</v>
      </c>
      <c r="B17" t="s">
        <v>16</v>
      </c>
      <c r="C17" t="s">
        <v>82</v>
      </c>
      <c r="D17" t="s">
        <v>124</v>
      </c>
      <c r="E17" t="s">
        <v>84</v>
      </c>
      <c r="F17" t="s">
        <v>125</v>
      </c>
      <c r="G17" t="s">
        <v>90</v>
      </c>
      <c r="H17" t="s">
        <v>57</v>
      </c>
      <c r="I17" t="s">
        <v>58</v>
      </c>
      <c r="J17">
        <v>300</v>
      </c>
      <c r="K17" t="s">
        <v>58</v>
      </c>
      <c r="L17" t="s">
        <v>126</v>
      </c>
      <c r="M17" t="s">
        <v>60</v>
      </c>
      <c r="N17">
        <v>14</v>
      </c>
      <c r="O17">
        <v>134266</v>
      </c>
    </row>
    <row r="18" spans="1:15" x14ac:dyDescent="0.35">
      <c r="A18" t="s">
        <v>15</v>
      </c>
      <c r="B18" t="s">
        <v>27</v>
      </c>
      <c r="C18" t="s">
        <v>61</v>
      </c>
      <c r="D18" t="s">
        <v>127</v>
      </c>
      <c r="E18" t="s">
        <v>128</v>
      </c>
      <c r="F18" t="s">
        <v>85</v>
      </c>
      <c r="G18" t="s">
        <v>129</v>
      </c>
      <c r="H18" t="s">
        <v>41</v>
      </c>
      <c r="I18" t="s">
        <v>23</v>
      </c>
      <c r="J18" s="1">
        <v>132000</v>
      </c>
      <c r="K18" t="s">
        <v>130</v>
      </c>
      <c r="L18" t="s">
        <v>131</v>
      </c>
      <c r="M18" t="s">
        <v>132</v>
      </c>
      <c r="N18">
        <v>6</v>
      </c>
      <c r="O18">
        <v>52746</v>
      </c>
    </row>
    <row r="19" spans="1:15" x14ac:dyDescent="0.35">
      <c r="A19" t="s">
        <v>15</v>
      </c>
      <c r="B19" t="s">
        <v>27</v>
      </c>
      <c r="C19" t="s">
        <v>36</v>
      </c>
      <c r="D19" t="s">
        <v>133</v>
      </c>
      <c r="E19" t="s">
        <v>134</v>
      </c>
      <c r="F19" t="s">
        <v>47</v>
      </c>
      <c r="G19" t="s">
        <v>90</v>
      </c>
      <c r="H19" t="s">
        <v>57</v>
      </c>
      <c r="I19" t="s">
        <v>23</v>
      </c>
      <c r="J19" s="1">
        <v>257150</v>
      </c>
      <c r="K19" t="s">
        <v>135</v>
      </c>
      <c r="L19" t="s">
        <v>136</v>
      </c>
      <c r="M19" t="s">
        <v>137</v>
      </c>
      <c r="N19">
        <v>8</v>
      </c>
      <c r="O19">
        <v>162576</v>
      </c>
    </row>
    <row r="20" spans="1:15" x14ac:dyDescent="0.35">
      <c r="A20" t="s">
        <v>15</v>
      </c>
      <c r="B20" t="s">
        <v>16</v>
      </c>
      <c r="C20" t="s">
        <v>82</v>
      </c>
      <c r="D20" t="s">
        <v>138</v>
      </c>
      <c r="E20" t="s">
        <v>84</v>
      </c>
      <c r="F20" t="s">
        <v>139</v>
      </c>
      <c r="G20" t="s">
        <v>90</v>
      </c>
      <c r="H20" t="s">
        <v>73</v>
      </c>
      <c r="I20" t="s">
        <v>58</v>
      </c>
      <c r="J20">
        <v>130</v>
      </c>
      <c r="K20" t="s">
        <v>140</v>
      </c>
      <c r="L20" t="s">
        <v>141</v>
      </c>
      <c r="M20" t="s">
        <v>60</v>
      </c>
      <c r="N20">
        <v>13</v>
      </c>
      <c r="O20">
        <v>206875</v>
      </c>
    </row>
    <row r="21" spans="1:15" x14ac:dyDescent="0.35">
      <c r="A21" t="s">
        <v>75</v>
      </c>
      <c r="B21" t="s">
        <v>69</v>
      </c>
      <c r="C21" t="s">
        <v>61</v>
      </c>
      <c r="D21" t="s">
        <v>142</v>
      </c>
      <c r="E21" t="s">
        <v>143</v>
      </c>
      <c r="F21" t="s">
        <v>113</v>
      </c>
      <c r="G21" t="s">
        <v>144</v>
      </c>
      <c r="H21" t="s">
        <v>115</v>
      </c>
      <c r="I21" t="s">
        <v>23</v>
      </c>
      <c r="J21" s="1">
        <v>93580</v>
      </c>
      <c r="K21" t="s">
        <v>145</v>
      </c>
      <c r="L21" t="s">
        <v>146</v>
      </c>
      <c r="M21" t="s">
        <v>147</v>
      </c>
      <c r="N21">
        <v>19</v>
      </c>
      <c r="O21">
        <v>80123</v>
      </c>
    </row>
    <row r="22" spans="1:15" x14ac:dyDescent="0.35">
      <c r="A22" t="s">
        <v>15</v>
      </c>
      <c r="B22" t="s">
        <v>16</v>
      </c>
      <c r="C22" t="s">
        <v>36</v>
      </c>
      <c r="D22" t="s">
        <v>148</v>
      </c>
      <c r="E22" t="s">
        <v>149</v>
      </c>
      <c r="F22" t="s">
        <v>47</v>
      </c>
      <c r="G22" t="s">
        <v>150</v>
      </c>
      <c r="H22" t="s">
        <v>57</v>
      </c>
      <c r="I22" t="s">
        <v>23</v>
      </c>
      <c r="J22" s="1">
        <v>44010</v>
      </c>
      <c r="K22" t="s">
        <v>23</v>
      </c>
      <c r="L22" t="s">
        <v>151</v>
      </c>
      <c r="M22" t="s">
        <v>152</v>
      </c>
      <c r="N22">
        <v>8</v>
      </c>
      <c r="O22">
        <v>72611</v>
      </c>
    </row>
    <row r="23" spans="1:15" x14ac:dyDescent="0.35">
      <c r="A23" t="s">
        <v>15</v>
      </c>
      <c r="B23" t="s">
        <v>16</v>
      </c>
      <c r="C23" t="s">
        <v>36</v>
      </c>
      <c r="D23" t="s">
        <v>153</v>
      </c>
      <c r="E23" t="s">
        <v>154</v>
      </c>
      <c r="F23" t="s">
        <v>47</v>
      </c>
      <c r="G23" t="s">
        <v>155</v>
      </c>
      <c r="H23" t="s">
        <v>156</v>
      </c>
      <c r="I23" t="s">
        <v>23</v>
      </c>
      <c r="J23" s="1">
        <v>11610</v>
      </c>
      <c r="K23" t="s">
        <v>157</v>
      </c>
      <c r="L23" t="s">
        <v>158</v>
      </c>
      <c r="M23" t="s">
        <v>159</v>
      </c>
      <c r="N23">
        <v>8</v>
      </c>
      <c r="O23">
        <v>129743</v>
      </c>
    </row>
    <row r="24" spans="1:15" x14ac:dyDescent="0.35">
      <c r="A24" t="s">
        <v>15</v>
      </c>
      <c r="B24" t="s">
        <v>16</v>
      </c>
      <c r="C24" t="s">
        <v>36</v>
      </c>
      <c r="D24" t="s">
        <v>160</v>
      </c>
      <c r="E24" t="s">
        <v>161</v>
      </c>
      <c r="F24" t="s">
        <v>85</v>
      </c>
      <c r="G24" t="s">
        <v>150</v>
      </c>
      <c r="H24" t="s">
        <v>41</v>
      </c>
      <c r="I24" t="s">
        <v>58</v>
      </c>
      <c r="J24">
        <v>300</v>
      </c>
      <c r="K24" t="s">
        <v>58</v>
      </c>
      <c r="L24" t="s">
        <v>162</v>
      </c>
      <c r="M24" t="s">
        <v>163</v>
      </c>
      <c r="N24">
        <v>6</v>
      </c>
      <c r="O24">
        <v>85044</v>
      </c>
    </row>
    <row r="25" spans="1:15" x14ac:dyDescent="0.35">
      <c r="A25" t="s">
        <v>15</v>
      </c>
      <c r="B25" t="s">
        <v>16</v>
      </c>
      <c r="C25" t="s">
        <v>61</v>
      </c>
      <c r="D25" t="s">
        <v>164</v>
      </c>
      <c r="E25" t="s">
        <v>165</v>
      </c>
      <c r="F25" t="s">
        <v>64</v>
      </c>
      <c r="G25" t="s">
        <v>90</v>
      </c>
      <c r="H25" t="s">
        <v>41</v>
      </c>
      <c r="I25" t="s">
        <v>58</v>
      </c>
      <c r="J25">
        <v>100</v>
      </c>
      <c r="K25" t="s">
        <v>166</v>
      </c>
      <c r="L25" t="s">
        <v>167</v>
      </c>
      <c r="M25" t="s">
        <v>60</v>
      </c>
      <c r="N25">
        <v>3</v>
      </c>
      <c r="O25">
        <v>178107.5</v>
      </c>
    </row>
    <row r="26" spans="1:15" x14ac:dyDescent="0.35">
      <c r="A26" t="s">
        <v>15</v>
      </c>
      <c r="B26" t="s">
        <v>27</v>
      </c>
      <c r="C26" t="s">
        <v>61</v>
      </c>
      <c r="D26" t="s">
        <v>168</v>
      </c>
      <c r="E26" t="s">
        <v>128</v>
      </c>
      <c r="F26" t="s">
        <v>39</v>
      </c>
      <c r="G26" t="s">
        <v>169</v>
      </c>
      <c r="H26" t="s">
        <v>41</v>
      </c>
      <c r="I26" t="s">
        <v>23</v>
      </c>
      <c r="J26" s="1">
        <v>222070</v>
      </c>
      <c r="K26" t="s">
        <v>170</v>
      </c>
      <c r="L26" t="s">
        <v>171</v>
      </c>
      <c r="M26" t="s">
        <v>172</v>
      </c>
      <c r="O26">
        <v>10049</v>
      </c>
    </row>
    <row r="27" spans="1:15" x14ac:dyDescent="0.35">
      <c r="A27" t="s">
        <v>15</v>
      </c>
      <c r="B27" t="s">
        <v>52</v>
      </c>
      <c r="C27" t="s">
        <v>82</v>
      </c>
      <c r="D27" t="s">
        <v>173</v>
      </c>
      <c r="E27" t="s">
        <v>174</v>
      </c>
      <c r="F27" t="s">
        <v>64</v>
      </c>
      <c r="G27" t="s">
        <v>90</v>
      </c>
      <c r="H27" t="s">
        <v>41</v>
      </c>
      <c r="I27" t="s">
        <v>58</v>
      </c>
      <c r="J27">
        <v>340</v>
      </c>
      <c r="K27" t="s">
        <v>175</v>
      </c>
      <c r="L27" t="s">
        <v>176</v>
      </c>
      <c r="M27" t="s">
        <v>60</v>
      </c>
      <c r="N27">
        <v>3</v>
      </c>
      <c r="O27">
        <v>100468</v>
      </c>
    </row>
    <row r="28" spans="1:15" x14ac:dyDescent="0.35">
      <c r="A28" t="s">
        <v>15</v>
      </c>
      <c r="B28" t="s">
        <v>16</v>
      </c>
      <c r="C28" t="s">
        <v>61</v>
      </c>
      <c r="D28" t="s">
        <v>177</v>
      </c>
      <c r="E28" t="s">
        <v>178</v>
      </c>
      <c r="F28" t="s">
        <v>30</v>
      </c>
      <c r="G28" t="s">
        <v>179</v>
      </c>
      <c r="H28" t="s">
        <v>41</v>
      </c>
      <c r="I28" t="s">
        <v>58</v>
      </c>
      <c r="J28" s="1">
        <v>3780</v>
      </c>
      <c r="K28" t="s">
        <v>58</v>
      </c>
      <c r="L28" t="s">
        <v>180</v>
      </c>
      <c r="M28" t="s">
        <v>181</v>
      </c>
      <c r="N28">
        <v>15</v>
      </c>
      <c r="O28">
        <v>150205.5</v>
      </c>
    </row>
    <row r="29" spans="1:15" x14ac:dyDescent="0.35">
      <c r="A29" t="s">
        <v>15</v>
      </c>
      <c r="B29" t="s">
        <v>16</v>
      </c>
      <c r="C29" t="s">
        <v>61</v>
      </c>
      <c r="D29" t="s">
        <v>182</v>
      </c>
      <c r="E29" t="s">
        <v>165</v>
      </c>
      <c r="F29" t="s">
        <v>47</v>
      </c>
      <c r="G29" t="s">
        <v>90</v>
      </c>
      <c r="H29" t="s">
        <v>73</v>
      </c>
      <c r="I29" t="s">
        <v>58</v>
      </c>
      <c r="J29">
        <v>807</v>
      </c>
      <c r="K29" t="s">
        <v>183</v>
      </c>
      <c r="L29" t="s">
        <v>184</v>
      </c>
      <c r="M29" t="s">
        <v>118</v>
      </c>
      <c r="N29">
        <v>8</v>
      </c>
      <c r="O29">
        <v>150707</v>
      </c>
    </row>
    <row r="30" spans="1:15" x14ac:dyDescent="0.35">
      <c r="A30" t="s">
        <v>15</v>
      </c>
      <c r="B30" t="s">
        <v>16</v>
      </c>
      <c r="C30" t="s">
        <v>36</v>
      </c>
      <c r="D30" t="s">
        <v>185</v>
      </c>
      <c r="E30" t="s">
        <v>186</v>
      </c>
      <c r="F30" t="s">
        <v>39</v>
      </c>
      <c r="G30" t="s">
        <v>187</v>
      </c>
      <c r="H30" t="s">
        <v>41</v>
      </c>
      <c r="I30" t="s">
        <v>61</v>
      </c>
      <c r="J30" s="1">
        <v>8010</v>
      </c>
      <c r="K30" t="s">
        <v>73</v>
      </c>
      <c r="L30" t="s">
        <v>188</v>
      </c>
      <c r="M30" t="s">
        <v>189</v>
      </c>
      <c r="O30">
        <v>210071</v>
      </c>
    </row>
    <row r="31" spans="1:15" x14ac:dyDescent="0.35">
      <c r="A31" t="s">
        <v>75</v>
      </c>
      <c r="B31" t="s">
        <v>16</v>
      </c>
      <c r="C31" t="s">
        <v>61</v>
      </c>
      <c r="D31" t="s">
        <v>190</v>
      </c>
      <c r="E31" t="s">
        <v>191</v>
      </c>
      <c r="F31" t="s">
        <v>39</v>
      </c>
      <c r="G31" t="s">
        <v>90</v>
      </c>
      <c r="H31" t="s">
        <v>41</v>
      </c>
      <c r="I31" t="s">
        <v>23</v>
      </c>
      <c r="J31" s="1">
        <v>26950</v>
      </c>
      <c r="K31" t="s">
        <v>192</v>
      </c>
      <c r="L31" t="s">
        <v>193</v>
      </c>
      <c r="M31" t="s">
        <v>110</v>
      </c>
      <c r="O31">
        <v>72515</v>
      </c>
    </row>
    <row r="32" spans="1:15" x14ac:dyDescent="0.35">
      <c r="A32" t="s">
        <v>15</v>
      </c>
      <c r="B32" t="s">
        <v>27</v>
      </c>
      <c r="C32" t="s">
        <v>36</v>
      </c>
      <c r="D32" t="s">
        <v>194</v>
      </c>
      <c r="E32" t="s">
        <v>195</v>
      </c>
      <c r="F32" t="s">
        <v>196</v>
      </c>
      <c r="G32" t="s">
        <v>197</v>
      </c>
      <c r="H32" t="s">
        <v>41</v>
      </c>
      <c r="I32" t="s">
        <v>23</v>
      </c>
      <c r="J32" s="1">
        <v>4820</v>
      </c>
      <c r="K32" t="s">
        <v>198</v>
      </c>
      <c r="L32" t="s">
        <v>199</v>
      </c>
      <c r="M32" t="s">
        <v>200</v>
      </c>
      <c r="N32">
        <v>7</v>
      </c>
      <c r="O32">
        <v>112288</v>
      </c>
    </row>
    <row r="33" spans="1:15" x14ac:dyDescent="0.35">
      <c r="A33" t="s">
        <v>15</v>
      </c>
      <c r="B33" t="s">
        <v>27</v>
      </c>
      <c r="C33" t="s">
        <v>17</v>
      </c>
      <c r="D33" t="s">
        <v>201</v>
      </c>
      <c r="E33" t="s">
        <v>202</v>
      </c>
      <c r="F33" t="s">
        <v>203</v>
      </c>
      <c r="G33" t="s">
        <v>204</v>
      </c>
      <c r="H33" t="s">
        <v>22</v>
      </c>
      <c r="I33" t="s">
        <v>23</v>
      </c>
      <c r="J33" s="1">
        <v>157200</v>
      </c>
      <c r="K33" t="s">
        <v>23</v>
      </c>
      <c r="L33" t="s">
        <v>205</v>
      </c>
      <c r="M33" t="s">
        <v>206</v>
      </c>
      <c r="N33">
        <v>25</v>
      </c>
      <c r="O33">
        <v>132437</v>
      </c>
    </row>
    <row r="34" spans="1:15" x14ac:dyDescent="0.35">
      <c r="A34" t="s">
        <v>15</v>
      </c>
      <c r="B34" t="s">
        <v>16</v>
      </c>
      <c r="C34" t="s">
        <v>17</v>
      </c>
      <c r="D34" t="s">
        <v>207</v>
      </c>
      <c r="E34" t="s">
        <v>208</v>
      </c>
      <c r="F34" t="s">
        <v>30</v>
      </c>
      <c r="G34" t="s">
        <v>209</v>
      </c>
      <c r="H34" t="s">
        <v>41</v>
      </c>
      <c r="I34" t="s">
        <v>23</v>
      </c>
      <c r="J34" s="1">
        <v>1320</v>
      </c>
      <c r="K34" t="s">
        <v>23</v>
      </c>
      <c r="L34" t="s">
        <v>210</v>
      </c>
      <c r="M34" t="s">
        <v>211</v>
      </c>
      <c r="N34">
        <v>15</v>
      </c>
      <c r="O34">
        <v>54802.5</v>
      </c>
    </row>
    <row r="35" spans="1:15" x14ac:dyDescent="0.35">
      <c r="A35" t="s">
        <v>15</v>
      </c>
      <c r="B35" t="s">
        <v>16</v>
      </c>
      <c r="C35" t="s">
        <v>36</v>
      </c>
      <c r="D35" t="s">
        <v>194</v>
      </c>
      <c r="E35" t="s">
        <v>195</v>
      </c>
      <c r="F35" t="s">
        <v>196</v>
      </c>
      <c r="G35" t="s">
        <v>197</v>
      </c>
      <c r="H35" t="s">
        <v>41</v>
      </c>
      <c r="I35" t="s">
        <v>23</v>
      </c>
      <c r="J35" s="1">
        <v>4780</v>
      </c>
      <c r="K35" t="s">
        <v>212</v>
      </c>
      <c r="L35" t="s">
        <v>213</v>
      </c>
      <c r="M35" t="s">
        <v>200</v>
      </c>
      <c r="N35">
        <v>7</v>
      </c>
      <c r="O35">
        <v>112291</v>
      </c>
    </row>
    <row r="36" spans="1:15" x14ac:dyDescent="0.35">
      <c r="A36" t="s">
        <v>15</v>
      </c>
      <c r="B36" t="s">
        <v>16</v>
      </c>
      <c r="C36" t="s">
        <v>36</v>
      </c>
      <c r="D36" t="s">
        <v>214</v>
      </c>
      <c r="E36" t="s">
        <v>161</v>
      </c>
      <c r="F36" t="s">
        <v>55</v>
      </c>
      <c r="G36" t="s">
        <v>215</v>
      </c>
      <c r="H36" t="s">
        <v>41</v>
      </c>
      <c r="I36" t="s">
        <v>58</v>
      </c>
      <c r="J36" s="1">
        <v>26070</v>
      </c>
      <c r="K36" t="s">
        <v>58</v>
      </c>
      <c r="L36" t="s">
        <v>216</v>
      </c>
      <c r="M36" t="s">
        <v>217</v>
      </c>
      <c r="N36">
        <v>3</v>
      </c>
      <c r="O36">
        <v>104122</v>
      </c>
    </row>
    <row r="37" spans="1:15" x14ac:dyDescent="0.35">
      <c r="A37" t="s">
        <v>15</v>
      </c>
      <c r="B37" t="s">
        <v>16</v>
      </c>
      <c r="C37" t="s">
        <v>17</v>
      </c>
      <c r="D37" t="s">
        <v>218</v>
      </c>
      <c r="E37" t="s">
        <v>219</v>
      </c>
      <c r="F37" t="s">
        <v>220</v>
      </c>
      <c r="G37" t="s">
        <v>221</v>
      </c>
      <c r="H37" t="s">
        <v>41</v>
      </c>
      <c r="I37" t="s">
        <v>58</v>
      </c>
      <c r="J37" s="1">
        <v>1790</v>
      </c>
      <c r="K37" t="s">
        <v>58</v>
      </c>
      <c r="L37" t="s">
        <v>222</v>
      </c>
      <c r="M37" t="s">
        <v>60</v>
      </c>
      <c r="N37">
        <v>3</v>
      </c>
      <c r="O37">
        <v>233820.5</v>
      </c>
    </row>
    <row r="38" spans="1:15" x14ac:dyDescent="0.35">
      <c r="A38" t="s">
        <v>15</v>
      </c>
      <c r="B38" t="s">
        <v>16</v>
      </c>
      <c r="C38" t="s">
        <v>17</v>
      </c>
      <c r="D38" t="s">
        <v>223</v>
      </c>
      <c r="E38" t="s">
        <v>224</v>
      </c>
      <c r="F38" t="s">
        <v>113</v>
      </c>
      <c r="G38" t="s">
        <v>90</v>
      </c>
      <c r="H38" t="s">
        <v>41</v>
      </c>
      <c r="I38" t="s">
        <v>23</v>
      </c>
      <c r="J38" s="1">
        <v>5260</v>
      </c>
      <c r="K38" t="s">
        <v>225</v>
      </c>
      <c r="L38" t="s">
        <v>226</v>
      </c>
      <c r="M38" t="s">
        <v>60</v>
      </c>
      <c r="N38">
        <v>19</v>
      </c>
      <c r="O38">
        <v>260211</v>
      </c>
    </row>
    <row r="39" spans="1:15" x14ac:dyDescent="0.35">
      <c r="A39" t="s">
        <v>15</v>
      </c>
      <c r="B39" t="s">
        <v>27</v>
      </c>
      <c r="C39" t="s">
        <v>61</v>
      </c>
      <c r="D39" t="s">
        <v>227</v>
      </c>
      <c r="E39" t="s">
        <v>228</v>
      </c>
      <c r="F39" t="s">
        <v>39</v>
      </c>
      <c r="G39" t="s">
        <v>229</v>
      </c>
      <c r="H39" t="s">
        <v>41</v>
      </c>
      <c r="I39" t="s">
        <v>58</v>
      </c>
      <c r="J39">
        <v>210</v>
      </c>
      <c r="K39" t="s">
        <v>58</v>
      </c>
      <c r="L39" t="s">
        <v>230</v>
      </c>
      <c r="M39" t="s">
        <v>231</v>
      </c>
      <c r="O39">
        <v>114355</v>
      </c>
    </row>
    <row r="40" spans="1:15" x14ac:dyDescent="0.35">
      <c r="A40" t="s">
        <v>15</v>
      </c>
      <c r="B40" t="s">
        <v>99</v>
      </c>
      <c r="C40" t="s">
        <v>36</v>
      </c>
      <c r="D40" t="s">
        <v>232</v>
      </c>
      <c r="E40" t="s">
        <v>233</v>
      </c>
      <c r="F40" t="s">
        <v>30</v>
      </c>
      <c r="G40" t="s">
        <v>234</v>
      </c>
      <c r="H40" t="s">
        <v>41</v>
      </c>
      <c r="I40" t="s">
        <v>23</v>
      </c>
      <c r="J40" s="1">
        <v>9070</v>
      </c>
      <c r="K40" t="s">
        <v>23</v>
      </c>
      <c r="L40" t="s">
        <v>235</v>
      </c>
      <c r="M40" t="s">
        <v>206</v>
      </c>
      <c r="N40">
        <v>15</v>
      </c>
      <c r="O40">
        <v>171254.5</v>
      </c>
    </row>
    <row r="41" spans="1:15" x14ac:dyDescent="0.35">
      <c r="A41" t="s">
        <v>15</v>
      </c>
      <c r="B41" t="s">
        <v>16</v>
      </c>
      <c r="C41" t="s">
        <v>61</v>
      </c>
      <c r="D41" t="s">
        <v>236</v>
      </c>
      <c r="E41" t="s">
        <v>94</v>
      </c>
      <c r="F41" t="s">
        <v>237</v>
      </c>
      <c r="G41" t="s">
        <v>238</v>
      </c>
      <c r="H41" t="s">
        <v>41</v>
      </c>
      <c r="I41" t="s">
        <v>23</v>
      </c>
      <c r="J41" s="1">
        <v>9030</v>
      </c>
      <c r="K41" t="s">
        <v>239</v>
      </c>
      <c r="L41" t="s">
        <v>240</v>
      </c>
      <c r="M41" t="s">
        <v>241</v>
      </c>
      <c r="N41">
        <v>20</v>
      </c>
      <c r="O41">
        <v>105035</v>
      </c>
    </row>
    <row r="42" spans="1:15" x14ac:dyDescent="0.35">
      <c r="A42" t="s">
        <v>15</v>
      </c>
      <c r="B42" t="s">
        <v>16</v>
      </c>
      <c r="C42" t="s">
        <v>82</v>
      </c>
      <c r="D42" t="s">
        <v>242</v>
      </c>
      <c r="E42" t="s">
        <v>243</v>
      </c>
      <c r="F42" t="s">
        <v>244</v>
      </c>
      <c r="G42" t="s">
        <v>245</v>
      </c>
      <c r="H42" t="s">
        <v>41</v>
      </c>
      <c r="I42" t="s">
        <v>58</v>
      </c>
      <c r="J42">
        <v>60</v>
      </c>
      <c r="K42" t="s">
        <v>58</v>
      </c>
      <c r="L42" t="s">
        <v>246</v>
      </c>
      <c r="M42" t="s">
        <v>241</v>
      </c>
      <c r="N42">
        <v>2</v>
      </c>
      <c r="O42">
        <v>159839</v>
      </c>
    </row>
    <row r="43" spans="1:15" x14ac:dyDescent="0.35">
      <c r="A43" t="s">
        <v>15</v>
      </c>
      <c r="B43" t="s">
        <v>16</v>
      </c>
      <c r="C43" t="s">
        <v>36</v>
      </c>
      <c r="D43" t="s">
        <v>247</v>
      </c>
      <c r="E43" t="s">
        <v>248</v>
      </c>
      <c r="F43" t="s">
        <v>78</v>
      </c>
      <c r="G43" t="s">
        <v>249</v>
      </c>
      <c r="H43" t="s">
        <v>41</v>
      </c>
      <c r="I43" t="s">
        <v>23</v>
      </c>
      <c r="J43" s="1">
        <v>41020</v>
      </c>
      <c r="K43" t="s">
        <v>250</v>
      </c>
      <c r="L43" t="s">
        <v>251</v>
      </c>
      <c r="M43" t="s">
        <v>252</v>
      </c>
      <c r="N43">
        <v>9</v>
      </c>
      <c r="O43">
        <v>140661</v>
      </c>
    </row>
    <row r="44" spans="1:15" x14ac:dyDescent="0.35">
      <c r="A44" t="s">
        <v>15</v>
      </c>
      <c r="B44" t="s">
        <v>16</v>
      </c>
      <c r="C44" t="s">
        <v>17</v>
      </c>
      <c r="D44" t="s">
        <v>253</v>
      </c>
      <c r="E44" t="s">
        <v>254</v>
      </c>
      <c r="F44" t="s">
        <v>47</v>
      </c>
      <c r="G44" t="s">
        <v>150</v>
      </c>
      <c r="H44" t="s">
        <v>57</v>
      </c>
      <c r="I44" t="s">
        <v>23</v>
      </c>
      <c r="J44" s="1">
        <v>26040</v>
      </c>
      <c r="K44" t="s">
        <v>23</v>
      </c>
      <c r="L44" t="s">
        <v>255</v>
      </c>
      <c r="M44" t="s">
        <v>256</v>
      </c>
      <c r="N44">
        <v>8</v>
      </c>
      <c r="O44">
        <v>73739</v>
      </c>
    </row>
    <row r="45" spans="1:15" x14ac:dyDescent="0.35">
      <c r="A45" t="s">
        <v>15</v>
      </c>
      <c r="B45" t="s">
        <v>16</v>
      </c>
      <c r="C45" t="s">
        <v>17</v>
      </c>
      <c r="D45" t="s">
        <v>257</v>
      </c>
      <c r="E45" t="s">
        <v>258</v>
      </c>
      <c r="F45" t="s">
        <v>85</v>
      </c>
      <c r="G45" t="s">
        <v>90</v>
      </c>
      <c r="H45" t="s">
        <v>41</v>
      </c>
      <c r="I45" t="s">
        <v>23</v>
      </c>
      <c r="J45" s="1">
        <v>5050</v>
      </c>
      <c r="K45" t="s">
        <v>259</v>
      </c>
      <c r="L45" t="s">
        <v>260</v>
      </c>
      <c r="M45" t="s">
        <v>60</v>
      </c>
      <c r="N45">
        <v>6</v>
      </c>
      <c r="O45">
        <v>152074.5</v>
      </c>
    </row>
    <row r="46" spans="1:15" x14ac:dyDescent="0.35">
      <c r="A46" t="s">
        <v>15</v>
      </c>
      <c r="B46" t="s">
        <v>16</v>
      </c>
      <c r="C46" t="s">
        <v>36</v>
      </c>
      <c r="D46" t="s">
        <v>261</v>
      </c>
      <c r="E46" t="s">
        <v>54</v>
      </c>
      <c r="F46" t="s">
        <v>125</v>
      </c>
      <c r="G46" t="s">
        <v>262</v>
      </c>
      <c r="H46" t="s">
        <v>41</v>
      </c>
      <c r="I46" t="s">
        <v>58</v>
      </c>
      <c r="J46">
        <v>990</v>
      </c>
      <c r="K46" t="s">
        <v>263</v>
      </c>
      <c r="L46" t="s">
        <v>264</v>
      </c>
      <c r="M46" t="s">
        <v>60</v>
      </c>
      <c r="N46">
        <v>14</v>
      </c>
      <c r="O46">
        <v>228515</v>
      </c>
    </row>
    <row r="47" spans="1:15" x14ac:dyDescent="0.35">
      <c r="A47" t="s">
        <v>15</v>
      </c>
      <c r="B47" t="s">
        <v>16</v>
      </c>
      <c r="C47" t="s">
        <v>61</v>
      </c>
      <c r="D47" t="s">
        <v>265</v>
      </c>
      <c r="E47" t="s">
        <v>63</v>
      </c>
      <c r="F47" t="s">
        <v>47</v>
      </c>
      <c r="G47" t="s">
        <v>197</v>
      </c>
      <c r="H47" t="s">
        <v>57</v>
      </c>
      <c r="I47" t="s">
        <v>23</v>
      </c>
      <c r="J47" s="1">
        <v>2290</v>
      </c>
      <c r="K47" t="s">
        <v>23</v>
      </c>
      <c r="L47" t="s">
        <v>266</v>
      </c>
      <c r="M47" t="s">
        <v>267</v>
      </c>
      <c r="N47">
        <v>8</v>
      </c>
      <c r="O47">
        <v>148423.5</v>
      </c>
    </row>
    <row r="48" spans="1:15" x14ac:dyDescent="0.35">
      <c r="A48" t="s">
        <v>75</v>
      </c>
      <c r="B48" t="s">
        <v>16</v>
      </c>
      <c r="C48" t="s">
        <v>61</v>
      </c>
      <c r="D48" t="s">
        <v>177</v>
      </c>
      <c r="E48" t="s">
        <v>268</v>
      </c>
      <c r="F48" t="s">
        <v>30</v>
      </c>
      <c r="G48" t="s">
        <v>179</v>
      </c>
      <c r="H48" t="s">
        <v>41</v>
      </c>
      <c r="I48" t="s">
        <v>58</v>
      </c>
      <c r="J48" s="1">
        <v>3810</v>
      </c>
      <c r="K48" t="s">
        <v>58</v>
      </c>
      <c r="L48" t="s">
        <v>269</v>
      </c>
      <c r="M48" t="s">
        <v>270</v>
      </c>
      <c r="N48">
        <v>15</v>
      </c>
      <c r="O48">
        <v>194619.5</v>
      </c>
    </row>
    <row r="49" spans="1:15" x14ac:dyDescent="0.35">
      <c r="A49" t="s">
        <v>15</v>
      </c>
      <c r="B49" t="s">
        <v>16</v>
      </c>
      <c r="C49" t="s">
        <v>17</v>
      </c>
      <c r="D49" t="s">
        <v>271</v>
      </c>
      <c r="E49" t="s">
        <v>272</v>
      </c>
      <c r="F49" t="s">
        <v>47</v>
      </c>
      <c r="G49" t="s">
        <v>150</v>
      </c>
      <c r="H49" t="s">
        <v>41</v>
      </c>
      <c r="I49" t="s">
        <v>23</v>
      </c>
      <c r="J49" s="1">
        <v>24040</v>
      </c>
      <c r="K49" t="s">
        <v>23</v>
      </c>
      <c r="L49" t="s">
        <v>273</v>
      </c>
      <c r="M49" t="s">
        <v>274</v>
      </c>
      <c r="N49">
        <v>8</v>
      </c>
      <c r="O49">
        <v>132617.5</v>
      </c>
    </row>
    <row r="50" spans="1:15" x14ac:dyDescent="0.35">
      <c r="A50" t="s">
        <v>15</v>
      </c>
      <c r="B50" t="s">
        <v>27</v>
      </c>
      <c r="C50" t="s">
        <v>36</v>
      </c>
      <c r="D50" t="s">
        <v>275</v>
      </c>
      <c r="E50" t="s">
        <v>276</v>
      </c>
      <c r="F50" t="s">
        <v>277</v>
      </c>
      <c r="G50" t="s">
        <v>204</v>
      </c>
      <c r="H50" t="s">
        <v>41</v>
      </c>
      <c r="I50" t="s">
        <v>58</v>
      </c>
      <c r="J50">
        <v>46</v>
      </c>
      <c r="K50" t="s">
        <v>58</v>
      </c>
      <c r="L50" t="s">
        <v>278</v>
      </c>
      <c r="M50" t="s">
        <v>60</v>
      </c>
      <c r="N50">
        <v>12</v>
      </c>
      <c r="O50">
        <v>219203</v>
      </c>
    </row>
    <row r="51" spans="1:15" x14ac:dyDescent="0.35">
      <c r="A51" t="s">
        <v>15</v>
      </c>
      <c r="B51" t="s">
        <v>16</v>
      </c>
      <c r="C51" t="s">
        <v>61</v>
      </c>
      <c r="D51" t="s">
        <v>279</v>
      </c>
      <c r="E51" t="s">
        <v>280</v>
      </c>
      <c r="F51" t="s">
        <v>64</v>
      </c>
      <c r="G51" t="s">
        <v>204</v>
      </c>
      <c r="H51" t="s">
        <v>41</v>
      </c>
      <c r="I51" t="s">
        <v>58</v>
      </c>
      <c r="J51">
        <v>330</v>
      </c>
      <c r="K51" t="s">
        <v>166</v>
      </c>
      <c r="L51" t="s">
        <v>281</v>
      </c>
      <c r="M51" t="s">
        <v>282</v>
      </c>
      <c r="N51">
        <v>3</v>
      </c>
      <c r="O51">
        <v>77184</v>
      </c>
    </row>
    <row r="52" spans="1:15" x14ac:dyDescent="0.35">
      <c r="A52" t="s">
        <v>15</v>
      </c>
      <c r="B52" t="s">
        <v>16</v>
      </c>
      <c r="C52" t="s">
        <v>36</v>
      </c>
      <c r="D52" t="s">
        <v>283</v>
      </c>
      <c r="E52" t="s">
        <v>54</v>
      </c>
      <c r="F52" t="s">
        <v>64</v>
      </c>
      <c r="G52" t="s">
        <v>284</v>
      </c>
      <c r="H52" t="s">
        <v>41</v>
      </c>
      <c r="I52" t="s">
        <v>58</v>
      </c>
      <c r="J52">
        <v>5</v>
      </c>
      <c r="K52" t="s">
        <v>58</v>
      </c>
      <c r="L52" t="s">
        <v>285</v>
      </c>
      <c r="M52" t="s">
        <v>60</v>
      </c>
      <c r="N52">
        <v>3</v>
      </c>
      <c r="O52">
        <v>157556.5</v>
      </c>
    </row>
    <row r="53" spans="1:15" x14ac:dyDescent="0.35">
      <c r="A53" t="s">
        <v>15</v>
      </c>
      <c r="B53" t="s">
        <v>16</v>
      </c>
      <c r="C53" t="s">
        <v>36</v>
      </c>
      <c r="D53" t="s">
        <v>286</v>
      </c>
      <c r="E53" t="s">
        <v>287</v>
      </c>
      <c r="F53" t="s">
        <v>237</v>
      </c>
      <c r="G53" t="s">
        <v>90</v>
      </c>
      <c r="H53" t="s">
        <v>57</v>
      </c>
      <c r="I53" t="s">
        <v>58</v>
      </c>
      <c r="J53">
        <v>950</v>
      </c>
      <c r="K53" t="s">
        <v>288</v>
      </c>
      <c r="L53" t="s">
        <v>289</v>
      </c>
      <c r="M53" t="s">
        <v>60</v>
      </c>
      <c r="N53">
        <v>20</v>
      </c>
      <c r="O53">
        <v>246599</v>
      </c>
    </row>
    <row r="54" spans="1:15" x14ac:dyDescent="0.35">
      <c r="A54" t="s">
        <v>15</v>
      </c>
      <c r="B54" t="s">
        <v>52</v>
      </c>
      <c r="C54" t="s">
        <v>61</v>
      </c>
      <c r="D54" t="s">
        <v>290</v>
      </c>
      <c r="E54" t="s">
        <v>291</v>
      </c>
      <c r="F54" t="s">
        <v>292</v>
      </c>
      <c r="G54" t="s">
        <v>169</v>
      </c>
      <c r="H54" t="s">
        <v>41</v>
      </c>
      <c r="I54" t="s">
        <v>58</v>
      </c>
      <c r="J54">
        <v>750</v>
      </c>
      <c r="K54" t="s">
        <v>293</v>
      </c>
      <c r="L54" t="s">
        <v>294</v>
      </c>
      <c r="M54" t="s">
        <v>60</v>
      </c>
      <c r="N54">
        <v>5</v>
      </c>
      <c r="O54">
        <v>41302</v>
      </c>
    </row>
    <row r="55" spans="1:15" x14ac:dyDescent="0.35">
      <c r="A55" t="s">
        <v>15</v>
      </c>
      <c r="B55" t="s">
        <v>16</v>
      </c>
      <c r="C55" t="s">
        <v>17</v>
      </c>
      <c r="D55" t="s">
        <v>295</v>
      </c>
      <c r="E55" t="s">
        <v>296</v>
      </c>
      <c r="F55" t="s">
        <v>196</v>
      </c>
      <c r="G55" t="s">
        <v>297</v>
      </c>
      <c r="H55" t="s">
        <v>41</v>
      </c>
      <c r="I55" t="s">
        <v>23</v>
      </c>
      <c r="J55" s="1">
        <v>23860</v>
      </c>
      <c r="K55" t="s">
        <v>298</v>
      </c>
      <c r="L55" t="s">
        <v>299</v>
      </c>
      <c r="M55" t="s">
        <v>300</v>
      </c>
      <c r="N55">
        <v>7</v>
      </c>
      <c r="O55">
        <v>77161</v>
      </c>
    </row>
    <row r="56" spans="1:15" x14ac:dyDescent="0.35">
      <c r="A56" t="s">
        <v>15</v>
      </c>
      <c r="B56" t="s">
        <v>16</v>
      </c>
      <c r="C56" t="s">
        <v>36</v>
      </c>
      <c r="D56" t="s">
        <v>301</v>
      </c>
      <c r="E56" t="s">
        <v>302</v>
      </c>
      <c r="F56" t="s">
        <v>64</v>
      </c>
      <c r="G56" t="s">
        <v>303</v>
      </c>
      <c r="H56" t="s">
        <v>41</v>
      </c>
      <c r="I56" t="s">
        <v>23</v>
      </c>
      <c r="J56" s="1">
        <v>28840</v>
      </c>
      <c r="K56" t="s">
        <v>23</v>
      </c>
      <c r="L56" t="s">
        <v>304</v>
      </c>
      <c r="M56" t="s">
        <v>305</v>
      </c>
      <c r="N56">
        <v>3</v>
      </c>
      <c r="O56">
        <v>103554.5</v>
      </c>
    </row>
    <row r="57" spans="1:15" x14ac:dyDescent="0.35">
      <c r="A57" t="s">
        <v>15</v>
      </c>
      <c r="B57" t="s">
        <v>99</v>
      </c>
      <c r="C57" t="s">
        <v>61</v>
      </c>
      <c r="D57" t="s">
        <v>306</v>
      </c>
      <c r="E57" t="s">
        <v>307</v>
      </c>
      <c r="F57" t="s">
        <v>47</v>
      </c>
      <c r="G57" t="s">
        <v>308</v>
      </c>
      <c r="H57" t="s">
        <v>73</v>
      </c>
      <c r="I57" t="s">
        <v>61</v>
      </c>
      <c r="J57" s="1">
        <v>10933</v>
      </c>
      <c r="K57" t="s">
        <v>73</v>
      </c>
      <c r="L57" t="s">
        <v>309</v>
      </c>
      <c r="M57" t="s">
        <v>60</v>
      </c>
      <c r="N57">
        <v>8</v>
      </c>
      <c r="O57">
        <v>31175</v>
      </c>
    </row>
    <row r="58" spans="1:15" x14ac:dyDescent="0.35">
      <c r="A58" t="s">
        <v>15</v>
      </c>
      <c r="B58" t="s">
        <v>99</v>
      </c>
      <c r="C58" t="s">
        <v>82</v>
      </c>
      <c r="D58" t="s">
        <v>310</v>
      </c>
      <c r="E58" t="s">
        <v>311</v>
      </c>
      <c r="F58" t="s">
        <v>312</v>
      </c>
      <c r="G58" t="s">
        <v>313</v>
      </c>
      <c r="H58" t="s">
        <v>32</v>
      </c>
      <c r="I58" t="s">
        <v>23</v>
      </c>
      <c r="J58" s="1">
        <v>99620</v>
      </c>
      <c r="K58" t="s">
        <v>314</v>
      </c>
      <c r="L58" t="s">
        <v>315</v>
      </c>
      <c r="M58" t="s">
        <v>316</v>
      </c>
      <c r="N58">
        <v>4</v>
      </c>
      <c r="O58">
        <v>58894</v>
      </c>
    </row>
    <row r="59" spans="1:15" x14ac:dyDescent="0.35">
      <c r="A59" t="s">
        <v>75</v>
      </c>
      <c r="B59" t="s">
        <v>16</v>
      </c>
      <c r="C59" t="s">
        <v>61</v>
      </c>
      <c r="D59" t="s">
        <v>317</v>
      </c>
      <c r="E59" t="s">
        <v>318</v>
      </c>
      <c r="F59" t="s">
        <v>312</v>
      </c>
      <c r="G59" t="s">
        <v>319</v>
      </c>
      <c r="H59" t="s">
        <v>320</v>
      </c>
      <c r="I59" t="s">
        <v>58</v>
      </c>
      <c r="J59" s="1">
        <v>38090</v>
      </c>
      <c r="K59" t="s">
        <v>321</v>
      </c>
      <c r="L59" t="s">
        <v>322</v>
      </c>
      <c r="M59" t="s">
        <v>323</v>
      </c>
      <c r="N59">
        <v>4</v>
      </c>
      <c r="O59">
        <v>26757</v>
      </c>
    </row>
    <row r="60" spans="1:15" x14ac:dyDescent="0.35">
      <c r="A60" t="s">
        <v>15</v>
      </c>
      <c r="B60" t="s">
        <v>16</v>
      </c>
      <c r="C60" t="s">
        <v>61</v>
      </c>
      <c r="D60" t="s">
        <v>265</v>
      </c>
      <c r="E60" t="s">
        <v>324</v>
      </c>
      <c r="F60" t="s">
        <v>47</v>
      </c>
      <c r="G60" t="s">
        <v>197</v>
      </c>
      <c r="H60" t="s">
        <v>57</v>
      </c>
      <c r="I60" t="s">
        <v>23</v>
      </c>
      <c r="J60" s="1">
        <v>2300</v>
      </c>
      <c r="K60" t="s">
        <v>23</v>
      </c>
      <c r="L60" t="s">
        <v>325</v>
      </c>
      <c r="M60" t="s">
        <v>267</v>
      </c>
      <c r="N60">
        <v>8</v>
      </c>
      <c r="O60">
        <v>148421.5</v>
      </c>
    </row>
    <row r="61" spans="1:15" x14ac:dyDescent="0.35">
      <c r="A61" t="s">
        <v>15</v>
      </c>
      <c r="B61" t="s">
        <v>16</v>
      </c>
      <c r="C61" t="s">
        <v>36</v>
      </c>
      <c r="D61" t="s">
        <v>326</v>
      </c>
      <c r="E61" t="s">
        <v>287</v>
      </c>
      <c r="F61" t="s">
        <v>39</v>
      </c>
      <c r="G61" t="s">
        <v>90</v>
      </c>
      <c r="H61" t="s">
        <v>41</v>
      </c>
      <c r="I61" t="s">
        <v>58</v>
      </c>
      <c r="J61">
        <v>420</v>
      </c>
      <c r="K61" t="s">
        <v>327</v>
      </c>
      <c r="L61" t="s">
        <v>328</v>
      </c>
      <c r="M61" t="s">
        <v>60</v>
      </c>
      <c r="O61">
        <v>148808</v>
      </c>
    </row>
    <row r="62" spans="1:15" x14ac:dyDescent="0.35">
      <c r="A62" t="s">
        <v>15</v>
      </c>
      <c r="B62" t="s">
        <v>27</v>
      </c>
      <c r="C62" t="s">
        <v>36</v>
      </c>
      <c r="D62" t="s">
        <v>329</v>
      </c>
      <c r="E62" t="s">
        <v>330</v>
      </c>
      <c r="F62" t="s">
        <v>47</v>
      </c>
      <c r="G62" t="s">
        <v>331</v>
      </c>
      <c r="H62" t="s">
        <v>22</v>
      </c>
      <c r="I62" t="s">
        <v>23</v>
      </c>
      <c r="J62" s="1">
        <v>118910</v>
      </c>
      <c r="K62" t="s">
        <v>23</v>
      </c>
      <c r="L62" t="s">
        <v>332</v>
      </c>
      <c r="M62" t="s">
        <v>333</v>
      </c>
      <c r="N62">
        <v>8</v>
      </c>
      <c r="O62">
        <v>147784</v>
      </c>
    </row>
    <row r="63" spans="1:15" x14ac:dyDescent="0.35">
      <c r="A63" t="s">
        <v>15</v>
      </c>
      <c r="B63" t="s">
        <v>16</v>
      </c>
      <c r="C63" t="s">
        <v>17</v>
      </c>
      <c r="D63" t="s">
        <v>334</v>
      </c>
      <c r="E63" t="s">
        <v>335</v>
      </c>
      <c r="F63" t="s">
        <v>39</v>
      </c>
      <c r="G63" t="s">
        <v>336</v>
      </c>
      <c r="H63" t="s">
        <v>57</v>
      </c>
      <c r="I63" t="s">
        <v>23</v>
      </c>
      <c r="J63" s="1">
        <v>68400</v>
      </c>
      <c r="K63" t="s">
        <v>23</v>
      </c>
      <c r="L63" t="s">
        <v>337</v>
      </c>
      <c r="M63" t="s">
        <v>338</v>
      </c>
      <c r="O63">
        <v>24205</v>
      </c>
    </row>
    <row r="64" spans="1:15" x14ac:dyDescent="0.35">
      <c r="A64" t="s">
        <v>15</v>
      </c>
      <c r="B64" t="s">
        <v>16</v>
      </c>
      <c r="C64" t="s">
        <v>61</v>
      </c>
      <c r="D64" t="s">
        <v>339</v>
      </c>
      <c r="E64" t="s">
        <v>340</v>
      </c>
      <c r="F64" t="s">
        <v>341</v>
      </c>
      <c r="G64" t="s">
        <v>342</v>
      </c>
      <c r="H64" t="s">
        <v>41</v>
      </c>
      <c r="I64" t="s">
        <v>23</v>
      </c>
      <c r="J64" s="1">
        <v>187540</v>
      </c>
      <c r="K64" t="s">
        <v>343</v>
      </c>
      <c r="L64" t="s">
        <v>344</v>
      </c>
      <c r="M64" t="s">
        <v>345</v>
      </c>
      <c r="N64">
        <v>2</v>
      </c>
      <c r="O64">
        <v>13886</v>
      </c>
    </row>
    <row r="65" spans="1:15" x14ac:dyDescent="0.35">
      <c r="A65" t="s">
        <v>15</v>
      </c>
      <c r="B65" t="s">
        <v>16</v>
      </c>
      <c r="C65" t="s">
        <v>36</v>
      </c>
      <c r="D65" t="s">
        <v>346</v>
      </c>
      <c r="E65" t="s">
        <v>347</v>
      </c>
      <c r="F65" t="s">
        <v>30</v>
      </c>
      <c r="G65" t="s">
        <v>348</v>
      </c>
      <c r="H65" t="s">
        <v>57</v>
      </c>
      <c r="I65" t="s">
        <v>23</v>
      </c>
      <c r="J65" s="1">
        <v>3810</v>
      </c>
      <c r="K65" t="s">
        <v>349</v>
      </c>
      <c r="L65" t="s">
        <v>350</v>
      </c>
      <c r="M65" t="s">
        <v>60</v>
      </c>
      <c r="N65">
        <v>15</v>
      </c>
      <c r="O65">
        <v>177647.5</v>
      </c>
    </row>
    <row r="66" spans="1:15" x14ac:dyDescent="0.35">
      <c r="A66" t="s">
        <v>15</v>
      </c>
      <c r="B66" t="s">
        <v>99</v>
      </c>
      <c r="C66" t="s">
        <v>61</v>
      </c>
      <c r="D66" t="s">
        <v>70</v>
      </c>
      <c r="E66" t="s">
        <v>71</v>
      </c>
      <c r="F66" t="s">
        <v>30</v>
      </c>
      <c r="G66" t="s">
        <v>72</v>
      </c>
      <c r="H66" t="s">
        <v>73</v>
      </c>
      <c r="I66" t="s">
        <v>61</v>
      </c>
      <c r="J66" s="1">
        <v>17451</v>
      </c>
      <c r="K66" t="s">
        <v>73</v>
      </c>
      <c r="L66" t="s">
        <v>351</v>
      </c>
      <c r="M66" t="s">
        <v>352</v>
      </c>
      <c r="N66">
        <v>15</v>
      </c>
      <c r="O66">
        <v>102167</v>
      </c>
    </row>
    <row r="67" spans="1:15" x14ac:dyDescent="0.35">
      <c r="A67" t="s">
        <v>15</v>
      </c>
      <c r="B67" t="s">
        <v>16</v>
      </c>
      <c r="C67" t="s">
        <v>82</v>
      </c>
      <c r="D67" t="s">
        <v>353</v>
      </c>
      <c r="E67" t="s">
        <v>354</v>
      </c>
      <c r="F67" t="s">
        <v>39</v>
      </c>
      <c r="G67" t="s">
        <v>90</v>
      </c>
      <c r="H67" t="s">
        <v>41</v>
      </c>
      <c r="I67" t="s">
        <v>58</v>
      </c>
      <c r="J67" s="1">
        <v>1290</v>
      </c>
      <c r="K67" t="s">
        <v>355</v>
      </c>
      <c r="L67" t="s">
        <v>356</v>
      </c>
      <c r="M67" t="s">
        <v>60</v>
      </c>
      <c r="O67">
        <v>154314.5</v>
      </c>
    </row>
    <row r="68" spans="1:15" x14ac:dyDescent="0.35">
      <c r="A68" t="s">
        <v>15</v>
      </c>
      <c r="B68" t="s">
        <v>16</v>
      </c>
      <c r="C68" t="s">
        <v>36</v>
      </c>
      <c r="D68" t="s">
        <v>301</v>
      </c>
      <c r="E68" t="s">
        <v>302</v>
      </c>
      <c r="F68" t="s">
        <v>64</v>
      </c>
      <c r="G68" t="s">
        <v>303</v>
      </c>
      <c r="H68" t="s">
        <v>41</v>
      </c>
      <c r="I68" t="s">
        <v>23</v>
      </c>
      <c r="J68" s="1">
        <v>28810</v>
      </c>
      <c r="K68" t="s">
        <v>23</v>
      </c>
      <c r="L68" t="s">
        <v>357</v>
      </c>
      <c r="M68" t="s">
        <v>305</v>
      </c>
      <c r="N68">
        <v>3</v>
      </c>
      <c r="O68">
        <v>103558.5</v>
      </c>
    </row>
    <row r="69" spans="1:15" x14ac:dyDescent="0.35">
      <c r="A69" t="s">
        <v>15</v>
      </c>
      <c r="B69" t="s">
        <v>16</v>
      </c>
      <c r="C69" t="s">
        <v>82</v>
      </c>
      <c r="D69" t="s">
        <v>223</v>
      </c>
      <c r="E69" t="s">
        <v>358</v>
      </c>
      <c r="F69" t="s">
        <v>312</v>
      </c>
      <c r="G69" t="s">
        <v>90</v>
      </c>
      <c r="H69" t="s">
        <v>41</v>
      </c>
      <c r="I69" t="s">
        <v>23</v>
      </c>
      <c r="J69" s="1">
        <v>5320</v>
      </c>
      <c r="K69" t="s">
        <v>359</v>
      </c>
      <c r="L69" t="s">
        <v>360</v>
      </c>
      <c r="M69" t="s">
        <v>60</v>
      </c>
      <c r="N69">
        <v>4</v>
      </c>
      <c r="O69">
        <v>306623</v>
      </c>
    </row>
    <row r="70" spans="1:15" x14ac:dyDescent="0.35">
      <c r="A70" t="s">
        <v>15</v>
      </c>
      <c r="B70" t="s">
        <v>16</v>
      </c>
      <c r="C70" t="s">
        <v>61</v>
      </c>
      <c r="D70" t="s">
        <v>361</v>
      </c>
      <c r="E70" t="s">
        <v>228</v>
      </c>
      <c r="F70" t="s">
        <v>30</v>
      </c>
      <c r="G70" t="s">
        <v>90</v>
      </c>
      <c r="H70" t="s">
        <v>57</v>
      </c>
      <c r="I70" t="s">
        <v>58</v>
      </c>
      <c r="J70">
        <v>30</v>
      </c>
      <c r="K70" t="s">
        <v>58</v>
      </c>
      <c r="L70" t="s">
        <v>362</v>
      </c>
      <c r="M70" t="s">
        <v>60</v>
      </c>
      <c r="N70">
        <v>15</v>
      </c>
      <c r="O70">
        <v>28501</v>
      </c>
    </row>
    <row r="71" spans="1:15" x14ac:dyDescent="0.35">
      <c r="A71" t="s">
        <v>15</v>
      </c>
      <c r="B71" t="s">
        <v>16</v>
      </c>
      <c r="C71" t="s">
        <v>82</v>
      </c>
      <c r="D71" t="s">
        <v>88</v>
      </c>
      <c r="E71" t="s">
        <v>84</v>
      </c>
      <c r="F71" t="s">
        <v>89</v>
      </c>
      <c r="G71" t="s">
        <v>90</v>
      </c>
      <c r="H71" t="s">
        <v>41</v>
      </c>
      <c r="I71" t="s">
        <v>23</v>
      </c>
      <c r="J71" s="1">
        <v>5550</v>
      </c>
      <c r="K71" t="s">
        <v>363</v>
      </c>
      <c r="L71" t="s">
        <v>364</v>
      </c>
      <c r="M71" t="s">
        <v>60</v>
      </c>
      <c r="O71">
        <v>255732</v>
      </c>
    </row>
    <row r="72" spans="1:15" x14ac:dyDescent="0.35">
      <c r="A72" t="s">
        <v>15</v>
      </c>
      <c r="B72" t="s">
        <v>52</v>
      </c>
      <c r="C72" t="s">
        <v>82</v>
      </c>
      <c r="D72" t="s">
        <v>365</v>
      </c>
      <c r="E72" t="s">
        <v>84</v>
      </c>
      <c r="F72" t="s">
        <v>47</v>
      </c>
      <c r="G72" t="s">
        <v>65</v>
      </c>
      <c r="H72" t="s">
        <v>57</v>
      </c>
      <c r="I72" t="s">
        <v>58</v>
      </c>
      <c r="J72">
        <v>45</v>
      </c>
      <c r="K72" t="s">
        <v>58</v>
      </c>
      <c r="L72" t="s">
        <v>366</v>
      </c>
      <c r="M72" t="s">
        <v>60</v>
      </c>
      <c r="N72">
        <v>8</v>
      </c>
      <c r="O72">
        <v>159834</v>
      </c>
    </row>
    <row r="73" spans="1:15" x14ac:dyDescent="0.35">
      <c r="A73" t="s">
        <v>15</v>
      </c>
      <c r="B73" t="s">
        <v>16</v>
      </c>
      <c r="C73" t="s">
        <v>61</v>
      </c>
      <c r="D73" t="s">
        <v>93</v>
      </c>
      <c r="E73" t="s">
        <v>367</v>
      </c>
      <c r="F73" t="s">
        <v>196</v>
      </c>
      <c r="G73" t="s">
        <v>95</v>
      </c>
      <c r="H73" t="s">
        <v>41</v>
      </c>
      <c r="I73" t="s">
        <v>23</v>
      </c>
      <c r="J73" s="1">
        <v>103070</v>
      </c>
      <c r="K73" t="s">
        <v>368</v>
      </c>
      <c r="L73" t="s">
        <v>369</v>
      </c>
      <c r="M73" t="s">
        <v>370</v>
      </c>
      <c r="N73">
        <v>7</v>
      </c>
      <c r="O73">
        <v>96819</v>
      </c>
    </row>
    <row r="74" spans="1:15" x14ac:dyDescent="0.35">
      <c r="A74" t="s">
        <v>15</v>
      </c>
      <c r="B74" t="s">
        <v>16</v>
      </c>
      <c r="C74" t="s">
        <v>36</v>
      </c>
      <c r="D74" t="s">
        <v>371</v>
      </c>
      <c r="E74" t="s">
        <v>372</v>
      </c>
      <c r="F74" t="s">
        <v>39</v>
      </c>
      <c r="G74" t="s">
        <v>204</v>
      </c>
      <c r="H74" t="s">
        <v>22</v>
      </c>
      <c r="I74" t="s">
        <v>23</v>
      </c>
      <c r="J74" s="1">
        <v>865416</v>
      </c>
      <c r="K74" t="s">
        <v>373</v>
      </c>
      <c r="L74" t="s">
        <v>92</v>
      </c>
      <c r="M74" t="s">
        <v>374</v>
      </c>
      <c r="O74">
        <v>219201</v>
      </c>
    </row>
    <row r="75" spans="1:15" x14ac:dyDescent="0.35">
      <c r="A75" t="s">
        <v>75</v>
      </c>
      <c r="B75" t="s">
        <v>52</v>
      </c>
      <c r="C75" t="s">
        <v>36</v>
      </c>
      <c r="D75" t="s">
        <v>375</v>
      </c>
      <c r="E75" t="s">
        <v>376</v>
      </c>
      <c r="F75" t="s">
        <v>89</v>
      </c>
      <c r="G75" t="s">
        <v>377</v>
      </c>
      <c r="H75" t="s">
        <v>41</v>
      </c>
      <c r="I75" t="s">
        <v>58</v>
      </c>
      <c r="J75">
        <v>530</v>
      </c>
      <c r="K75" t="s">
        <v>58</v>
      </c>
      <c r="L75" t="s">
        <v>378</v>
      </c>
      <c r="M75" t="s">
        <v>60</v>
      </c>
      <c r="O75">
        <v>36340</v>
      </c>
    </row>
    <row r="76" spans="1:15" x14ac:dyDescent="0.35">
      <c r="A76" t="s">
        <v>15</v>
      </c>
      <c r="B76" t="s">
        <v>16</v>
      </c>
      <c r="C76" t="s">
        <v>17</v>
      </c>
      <c r="D76" t="s">
        <v>379</v>
      </c>
      <c r="E76" t="s">
        <v>380</v>
      </c>
      <c r="F76" t="s">
        <v>39</v>
      </c>
      <c r="G76" t="s">
        <v>381</v>
      </c>
      <c r="H76" t="s">
        <v>41</v>
      </c>
      <c r="I76" t="s">
        <v>58</v>
      </c>
      <c r="J76">
        <v>900</v>
      </c>
      <c r="K76" t="s">
        <v>166</v>
      </c>
      <c r="L76" t="s">
        <v>382</v>
      </c>
      <c r="M76" t="s">
        <v>383</v>
      </c>
      <c r="O76">
        <v>138833</v>
      </c>
    </row>
    <row r="77" spans="1:15" x14ac:dyDescent="0.35">
      <c r="A77" t="s">
        <v>15</v>
      </c>
      <c r="B77" t="s">
        <v>16</v>
      </c>
      <c r="C77" t="s">
        <v>82</v>
      </c>
      <c r="D77" t="s">
        <v>384</v>
      </c>
      <c r="E77" t="s">
        <v>385</v>
      </c>
      <c r="F77" t="s">
        <v>39</v>
      </c>
      <c r="G77" t="s">
        <v>386</v>
      </c>
      <c r="H77" t="s">
        <v>41</v>
      </c>
      <c r="I77" t="s">
        <v>23</v>
      </c>
      <c r="J77" s="1">
        <v>108670</v>
      </c>
      <c r="K77" t="s">
        <v>387</v>
      </c>
      <c r="L77" t="s">
        <v>388</v>
      </c>
      <c r="M77" t="s">
        <v>81</v>
      </c>
      <c r="O77">
        <v>116453</v>
      </c>
    </row>
    <row r="78" spans="1:15" x14ac:dyDescent="0.35">
      <c r="A78" t="s">
        <v>15</v>
      </c>
      <c r="B78" t="s">
        <v>16</v>
      </c>
      <c r="C78" t="s">
        <v>17</v>
      </c>
      <c r="D78" t="s">
        <v>389</v>
      </c>
      <c r="E78" t="s">
        <v>390</v>
      </c>
      <c r="F78" t="s">
        <v>89</v>
      </c>
      <c r="G78" t="s">
        <v>48</v>
      </c>
      <c r="H78" t="s">
        <v>41</v>
      </c>
      <c r="I78" t="s">
        <v>23</v>
      </c>
      <c r="J78" s="1">
        <v>2760</v>
      </c>
      <c r="K78" t="s">
        <v>23</v>
      </c>
      <c r="L78" t="s">
        <v>391</v>
      </c>
      <c r="M78" t="s">
        <v>60</v>
      </c>
      <c r="O78">
        <v>200936</v>
      </c>
    </row>
    <row r="79" spans="1:15" x14ac:dyDescent="0.35">
      <c r="A79" t="s">
        <v>15</v>
      </c>
      <c r="B79" t="s">
        <v>16</v>
      </c>
      <c r="C79" t="s">
        <v>17</v>
      </c>
      <c r="D79" t="s">
        <v>392</v>
      </c>
      <c r="E79" t="s">
        <v>393</v>
      </c>
      <c r="F79" t="s">
        <v>394</v>
      </c>
      <c r="G79" t="s">
        <v>90</v>
      </c>
      <c r="H79" t="s">
        <v>57</v>
      </c>
      <c r="I79" t="s">
        <v>58</v>
      </c>
      <c r="J79">
        <v>780</v>
      </c>
      <c r="K79" t="s">
        <v>395</v>
      </c>
      <c r="L79" t="s">
        <v>396</v>
      </c>
      <c r="M79" t="s">
        <v>60</v>
      </c>
      <c r="N79">
        <v>11</v>
      </c>
      <c r="O79">
        <v>182211.5</v>
      </c>
    </row>
    <row r="80" spans="1:15" x14ac:dyDescent="0.35">
      <c r="A80" t="s">
        <v>15</v>
      </c>
      <c r="B80" t="s">
        <v>16</v>
      </c>
      <c r="C80" t="s">
        <v>61</v>
      </c>
      <c r="D80" t="s">
        <v>397</v>
      </c>
      <c r="E80" t="s">
        <v>398</v>
      </c>
      <c r="F80" t="s">
        <v>399</v>
      </c>
      <c r="G80" t="s">
        <v>95</v>
      </c>
      <c r="H80" t="s">
        <v>57</v>
      </c>
      <c r="I80" t="s">
        <v>23</v>
      </c>
      <c r="J80" s="1">
        <v>14090</v>
      </c>
      <c r="K80" t="s">
        <v>400</v>
      </c>
      <c r="L80" t="s">
        <v>401</v>
      </c>
      <c r="M80" t="s">
        <v>402</v>
      </c>
      <c r="N80">
        <v>5</v>
      </c>
      <c r="O80">
        <v>88185</v>
      </c>
    </row>
    <row r="81" spans="1:15" x14ac:dyDescent="0.35">
      <c r="A81" t="s">
        <v>15</v>
      </c>
      <c r="B81" t="s">
        <v>16</v>
      </c>
      <c r="C81" t="s">
        <v>36</v>
      </c>
      <c r="D81" t="s">
        <v>403</v>
      </c>
      <c r="E81" t="s">
        <v>228</v>
      </c>
      <c r="F81" t="s">
        <v>30</v>
      </c>
      <c r="G81" t="s">
        <v>48</v>
      </c>
      <c r="H81" t="s">
        <v>41</v>
      </c>
      <c r="I81" t="s">
        <v>58</v>
      </c>
      <c r="J81">
        <v>900</v>
      </c>
      <c r="K81" t="s">
        <v>58</v>
      </c>
      <c r="L81" t="s">
        <v>404</v>
      </c>
      <c r="M81" t="s">
        <v>405</v>
      </c>
      <c r="N81">
        <v>15</v>
      </c>
      <c r="O81">
        <v>228792.5</v>
      </c>
    </row>
    <row r="82" spans="1:15" x14ac:dyDescent="0.35">
      <c r="A82" t="s">
        <v>15</v>
      </c>
      <c r="B82" t="s">
        <v>27</v>
      </c>
      <c r="C82" t="s">
        <v>82</v>
      </c>
      <c r="D82" t="s">
        <v>406</v>
      </c>
      <c r="E82" t="s">
        <v>407</v>
      </c>
      <c r="F82" t="s">
        <v>30</v>
      </c>
      <c r="G82" t="s">
        <v>229</v>
      </c>
      <c r="H82" t="s">
        <v>41</v>
      </c>
      <c r="I82" t="s">
        <v>23</v>
      </c>
      <c r="J82" s="1">
        <v>2570</v>
      </c>
      <c r="K82" t="s">
        <v>23</v>
      </c>
      <c r="L82" t="s">
        <v>408</v>
      </c>
      <c r="M82" t="s">
        <v>409</v>
      </c>
      <c r="N82">
        <v>15</v>
      </c>
      <c r="O82">
        <v>164399.5</v>
      </c>
    </row>
    <row r="83" spans="1:15" x14ac:dyDescent="0.35">
      <c r="A83" t="s">
        <v>75</v>
      </c>
      <c r="B83" t="s">
        <v>52</v>
      </c>
      <c r="C83" t="s">
        <v>36</v>
      </c>
      <c r="D83" t="s">
        <v>410</v>
      </c>
      <c r="E83" t="s">
        <v>411</v>
      </c>
      <c r="F83" t="s">
        <v>47</v>
      </c>
      <c r="G83" t="s">
        <v>412</v>
      </c>
      <c r="H83" t="s">
        <v>41</v>
      </c>
      <c r="I83" t="s">
        <v>58</v>
      </c>
      <c r="J83">
        <v>900</v>
      </c>
      <c r="K83" t="s">
        <v>413</v>
      </c>
      <c r="L83" t="s">
        <v>414</v>
      </c>
      <c r="M83" t="s">
        <v>60</v>
      </c>
      <c r="N83">
        <v>8</v>
      </c>
      <c r="O83">
        <v>173532.5</v>
      </c>
    </row>
    <row r="84" spans="1:15" x14ac:dyDescent="0.35">
      <c r="A84" t="s">
        <v>15</v>
      </c>
      <c r="B84" t="s">
        <v>16</v>
      </c>
      <c r="C84" t="s">
        <v>36</v>
      </c>
      <c r="D84" t="s">
        <v>415</v>
      </c>
      <c r="E84" t="s">
        <v>416</v>
      </c>
      <c r="F84" t="s">
        <v>312</v>
      </c>
      <c r="G84" t="s">
        <v>417</v>
      </c>
      <c r="H84" t="s">
        <v>41</v>
      </c>
      <c r="I84" t="s">
        <v>58</v>
      </c>
      <c r="J84" s="1">
        <v>21690</v>
      </c>
      <c r="K84" t="s">
        <v>58</v>
      </c>
      <c r="L84" t="s">
        <v>418</v>
      </c>
      <c r="M84" t="s">
        <v>419</v>
      </c>
      <c r="N84">
        <v>4</v>
      </c>
      <c r="O84">
        <v>196794.5</v>
      </c>
    </row>
    <row r="85" spans="1:15" x14ac:dyDescent="0.35">
      <c r="A85" t="s">
        <v>15</v>
      </c>
      <c r="B85" t="s">
        <v>16</v>
      </c>
      <c r="C85" t="s">
        <v>82</v>
      </c>
      <c r="D85" t="s">
        <v>420</v>
      </c>
      <c r="E85" t="s">
        <v>84</v>
      </c>
      <c r="F85" t="s">
        <v>244</v>
      </c>
      <c r="G85" t="s">
        <v>421</v>
      </c>
      <c r="H85" t="s">
        <v>41</v>
      </c>
      <c r="I85" t="s">
        <v>58</v>
      </c>
      <c r="J85">
        <v>900</v>
      </c>
      <c r="K85" t="s">
        <v>422</v>
      </c>
      <c r="L85" t="s">
        <v>423</v>
      </c>
      <c r="M85" t="s">
        <v>60</v>
      </c>
      <c r="N85">
        <v>2</v>
      </c>
      <c r="O85">
        <v>144311</v>
      </c>
    </row>
    <row r="86" spans="1:15" x14ac:dyDescent="0.35">
      <c r="A86" t="s">
        <v>15</v>
      </c>
      <c r="B86" t="s">
        <v>16</v>
      </c>
      <c r="C86" t="s">
        <v>17</v>
      </c>
      <c r="D86" t="s">
        <v>424</v>
      </c>
      <c r="E86" t="s">
        <v>425</v>
      </c>
      <c r="F86" t="s">
        <v>244</v>
      </c>
      <c r="G86" t="s">
        <v>426</v>
      </c>
      <c r="H86" t="s">
        <v>41</v>
      </c>
      <c r="I86" t="s">
        <v>58</v>
      </c>
      <c r="J86" s="1">
        <v>2010</v>
      </c>
      <c r="K86" t="s">
        <v>427</v>
      </c>
      <c r="L86" t="s">
        <v>428</v>
      </c>
      <c r="M86" t="s">
        <v>60</v>
      </c>
      <c r="N86">
        <v>2</v>
      </c>
      <c r="O86">
        <v>172619.5</v>
      </c>
    </row>
    <row r="87" spans="1:15" x14ac:dyDescent="0.35">
      <c r="A87" t="s">
        <v>15</v>
      </c>
      <c r="B87" t="s">
        <v>16</v>
      </c>
      <c r="C87" t="s">
        <v>36</v>
      </c>
      <c r="D87" t="s">
        <v>429</v>
      </c>
      <c r="E87" t="s">
        <v>430</v>
      </c>
      <c r="F87" t="s">
        <v>431</v>
      </c>
      <c r="G87" t="s">
        <v>432</v>
      </c>
      <c r="H87" t="s">
        <v>41</v>
      </c>
      <c r="I87" t="s">
        <v>23</v>
      </c>
      <c r="J87" s="1">
        <v>24780</v>
      </c>
      <c r="K87" t="s">
        <v>433</v>
      </c>
      <c r="L87" t="s">
        <v>434</v>
      </c>
      <c r="M87" t="s">
        <v>435</v>
      </c>
      <c r="N87">
        <v>21</v>
      </c>
      <c r="O87">
        <v>82371</v>
      </c>
    </row>
    <row r="88" spans="1:15" x14ac:dyDescent="0.35">
      <c r="A88" t="s">
        <v>15</v>
      </c>
      <c r="B88" t="s">
        <v>16</v>
      </c>
      <c r="C88" t="s">
        <v>82</v>
      </c>
      <c r="D88" t="s">
        <v>436</v>
      </c>
      <c r="E88" t="s">
        <v>84</v>
      </c>
      <c r="F88" t="s">
        <v>312</v>
      </c>
      <c r="G88" t="s">
        <v>90</v>
      </c>
      <c r="H88" t="s">
        <v>41</v>
      </c>
      <c r="I88" t="s">
        <v>23</v>
      </c>
      <c r="J88" s="1">
        <v>4080</v>
      </c>
      <c r="K88" t="s">
        <v>437</v>
      </c>
      <c r="L88" t="s">
        <v>438</v>
      </c>
      <c r="M88" t="s">
        <v>60</v>
      </c>
      <c r="N88">
        <v>4</v>
      </c>
      <c r="O88">
        <v>224774</v>
      </c>
    </row>
    <row r="89" spans="1:15" x14ac:dyDescent="0.35">
      <c r="A89" t="s">
        <v>15</v>
      </c>
      <c r="B89" t="s">
        <v>16</v>
      </c>
      <c r="C89" t="s">
        <v>61</v>
      </c>
      <c r="D89" t="s">
        <v>439</v>
      </c>
      <c r="E89" t="s">
        <v>440</v>
      </c>
      <c r="F89" t="s">
        <v>441</v>
      </c>
      <c r="G89" t="s">
        <v>442</v>
      </c>
      <c r="H89" t="s">
        <v>41</v>
      </c>
      <c r="I89" t="s">
        <v>23</v>
      </c>
      <c r="J89" s="1">
        <v>52060</v>
      </c>
      <c r="K89" t="s">
        <v>23</v>
      </c>
      <c r="L89" t="s">
        <v>443</v>
      </c>
      <c r="M89" t="s">
        <v>444</v>
      </c>
      <c r="N89">
        <v>10</v>
      </c>
      <c r="O89">
        <v>165320</v>
      </c>
    </row>
    <row r="90" spans="1:15" x14ac:dyDescent="0.35">
      <c r="A90" t="s">
        <v>15</v>
      </c>
      <c r="B90" t="s">
        <v>16</v>
      </c>
      <c r="C90" t="s">
        <v>61</v>
      </c>
      <c r="D90" t="s">
        <v>445</v>
      </c>
      <c r="E90" t="s">
        <v>318</v>
      </c>
      <c r="F90" t="s">
        <v>30</v>
      </c>
      <c r="G90" t="s">
        <v>446</v>
      </c>
      <c r="H90" t="s">
        <v>41</v>
      </c>
      <c r="I90" t="s">
        <v>23</v>
      </c>
      <c r="J90" s="1">
        <v>524608</v>
      </c>
      <c r="K90" t="s">
        <v>447</v>
      </c>
      <c r="L90" t="s">
        <v>448</v>
      </c>
      <c r="M90" t="s">
        <v>449</v>
      </c>
      <c r="N90">
        <v>15</v>
      </c>
      <c r="O90">
        <v>39984.5</v>
      </c>
    </row>
    <row r="91" spans="1:15" x14ac:dyDescent="0.35">
      <c r="A91" t="s">
        <v>15</v>
      </c>
      <c r="B91" t="s">
        <v>52</v>
      </c>
      <c r="C91" t="s">
        <v>36</v>
      </c>
      <c r="D91" t="s">
        <v>450</v>
      </c>
      <c r="E91" t="s">
        <v>451</v>
      </c>
      <c r="F91" t="s">
        <v>39</v>
      </c>
      <c r="G91" t="s">
        <v>452</v>
      </c>
      <c r="H91" t="s">
        <v>41</v>
      </c>
      <c r="I91" t="s">
        <v>58</v>
      </c>
      <c r="J91">
        <v>126</v>
      </c>
      <c r="K91" t="s">
        <v>58</v>
      </c>
      <c r="L91" t="s">
        <v>453</v>
      </c>
      <c r="M91" t="s">
        <v>60</v>
      </c>
      <c r="O91">
        <v>116452</v>
      </c>
    </row>
    <row r="92" spans="1:15" x14ac:dyDescent="0.35">
      <c r="A92" t="s">
        <v>15</v>
      </c>
      <c r="B92" t="s">
        <v>16</v>
      </c>
      <c r="C92" t="s">
        <v>36</v>
      </c>
      <c r="D92" t="s">
        <v>454</v>
      </c>
      <c r="E92" t="s">
        <v>54</v>
      </c>
      <c r="F92" t="s">
        <v>394</v>
      </c>
      <c r="G92" t="s">
        <v>412</v>
      </c>
      <c r="H92" t="s">
        <v>41</v>
      </c>
      <c r="I92" t="s">
        <v>23</v>
      </c>
      <c r="J92" s="1">
        <v>2790</v>
      </c>
      <c r="K92" t="s">
        <v>23</v>
      </c>
      <c r="L92" t="s">
        <v>455</v>
      </c>
      <c r="M92" t="s">
        <v>60</v>
      </c>
      <c r="N92">
        <v>11</v>
      </c>
      <c r="O92">
        <v>151301.5</v>
      </c>
    </row>
    <row r="93" spans="1:15" x14ac:dyDescent="0.35">
      <c r="A93" t="s">
        <v>15</v>
      </c>
      <c r="B93" t="s">
        <v>16</v>
      </c>
      <c r="C93" t="s">
        <v>36</v>
      </c>
      <c r="D93" t="s">
        <v>456</v>
      </c>
      <c r="E93" t="s">
        <v>457</v>
      </c>
      <c r="F93" t="s">
        <v>39</v>
      </c>
      <c r="G93" t="s">
        <v>458</v>
      </c>
      <c r="H93" t="s">
        <v>57</v>
      </c>
      <c r="I93" t="s">
        <v>23</v>
      </c>
      <c r="J93" s="1">
        <v>4010</v>
      </c>
      <c r="K93" t="s">
        <v>23</v>
      </c>
      <c r="L93" t="s">
        <v>459</v>
      </c>
      <c r="M93" t="s">
        <v>460</v>
      </c>
      <c r="O93">
        <v>166049.5</v>
      </c>
    </row>
    <row r="94" spans="1:15" x14ac:dyDescent="0.35">
      <c r="A94" t="s">
        <v>15</v>
      </c>
      <c r="B94" t="s">
        <v>16</v>
      </c>
      <c r="C94" t="s">
        <v>36</v>
      </c>
      <c r="D94" t="s">
        <v>461</v>
      </c>
      <c r="E94" t="s">
        <v>462</v>
      </c>
      <c r="F94" t="s">
        <v>55</v>
      </c>
      <c r="G94" t="s">
        <v>463</v>
      </c>
      <c r="H94" t="s">
        <v>41</v>
      </c>
      <c r="I94" t="s">
        <v>23</v>
      </c>
      <c r="J94" s="1">
        <v>10100</v>
      </c>
      <c r="K94" t="s">
        <v>464</v>
      </c>
      <c r="L94" t="s">
        <v>465</v>
      </c>
      <c r="M94" t="s">
        <v>466</v>
      </c>
      <c r="N94">
        <v>3</v>
      </c>
      <c r="O94">
        <v>63942</v>
      </c>
    </row>
    <row r="95" spans="1:15" x14ac:dyDescent="0.35">
      <c r="A95" t="s">
        <v>15</v>
      </c>
      <c r="B95" t="s">
        <v>16</v>
      </c>
      <c r="C95" t="s">
        <v>17</v>
      </c>
      <c r="D95" t="s">
        <v>467</v>
      </c>
      <c r="E95" t="s">
        <v>468</v>
      </c>
      <c r="F95" t="s">
        <v>237</v>
      </c>
      <c r="G95" t="s">
        <v>469</v>
      </c>
      <c r="H95" t="s">
        <v>41</v>
      </c>
      <c r="I95" t="s">
        <v>58</v>
      </c>
      <c r="J95">
        <v>150</v>
      </c>
      <c r="K95" t="s">
        <v>470</v>
      </c>
      <c r="L95" t="s">
        <v>471</v>
      </c>
      <c r="M95" t="s">
        <v>472</v>
      </c>
      <c r="N95">
        <v>20</v>
      </c>
      <c r="O95">
        <v>198651</v>
      </c>
    </row>
    <row r="96" spans="1:15" x14ac:dyDescent="0.35">
      <c r="A96" t="s">
        <v>15</v>
      </c>
      <c r="B96" t="s">
        <v>99</v>
      </c>
      <c r="C96" t="s">
        <v>82</v>
      </c>
      <c r="D96" t="s">
        <v>473</v>
      </c>
      <c r="E96" t="s">
        <v>165</v>
      </c>
      <c r="F96" t="s">
        <v>47</v>
      </c>
      <c r="G96" t="s">
        <v>90</v>
      </c>
      <c r="H96" t="s">
        <v>41</v>
      </c>
      <c r="I96" t="s">
        <v>23</v>
      </c>
      <c r="J96" s="1">
        <v>1290</v>
      </c>
      <c r="K96" t="s">
        <v>23</v>
      </c>
      <c r="L96" t="s">
        <v>474</v>
      </c>
      <c r="M96" t="s">
        <v>475</v>
      </c>
      <c r="N96">
        <v>8</v>
      </c>
      <c r="O96">
        <v>116221.5</v>
      </c>
    </row>
    <row r="97" spans="1:15" x14ac:dyDescent="0.35">
      <c r="A97" t="s">
        <v>15</v>
      </c>
      <c r="B97" t="s">
        <v>16</v>
      </c>
      <c r="C97" t="s">
        <v>17</v>
      </c>
      <c r="D97" t="s">
        <v>476</v>
      </c>
      <c r="E97" t="s">
        <v>477</v>
      </c>
      <c r="F97" t="s">
        <v>39</v>
      </c>
      <c r="G97" t="s">
        <v>229</v>
      </c>
      <c r="H97" t="s">
        <v>57</v>
      </c>
      <c r="I97" t="s">
        <v>23</v>
      </c>
      <c r="J97" s="1">
        <v>9920</v>
      </c>
      <c r="K97" t="s">
        <v>23</v>
      </c>
      <c r="L97" t="s">
        <v>478</v>
      </c>
      <c r="M97" t="s">
        <v>479</v>
      </c>
      <c r="O97">
        <v>15542</v>
      </c>
    </row>
    <row r="98" spans="1:15" x14ac:dyDescent="0.35">
      <c r="A98" t="s">
        <v>15</v>
      </c>
      <c r="B98" t="s">
        <v>16</v>
      </c>
      <c r="C98" t="s">
        <v>17</v>
      </c>
      <c r="D98" t="s">
        <v>480</v>
      </c>
      <c r="E98" t="s">
        <v>481</v>
      </c>
      <c r="F98" t="s">
        <v>30</v>
      </c>
      <c r="G98" t="s">
        <v>482</v>
      </c>
      <c r="H98" t="s">
        <v>41</v>
      </c>
      <c r="I98" t="s">
        <v>58</v>
      </c>
      <c r="J98" s="1">
        <v>3770</v>
      </c>
      <c r="K98" t="s">
        <v>58</v>
      </c>
      <c r="L98" t="s">
        <v>483</v>
      </c>
      <c r="M98" t="s">
        <v>484</v>
      </c>
      <c r="N98">
        <v>15</v>
      </c>
      <c r="O98">
        <v>61772</v>
      </c>
    </row>
    <row r="99" spans="1:15" x14ac:dyDescent="0.35">
      <c r="A99" t="s">
        <v>15</v>
      </c>
      <c r="B99" t="s">
        <v>16</v>
      </c>
      <c r="C99" t="s">
        <v>36</v>
      </c>
      <c r="D99" t="s">
        <v>485</v>
      </c>
      <c r="E99" t="s">
        <v>63</v>
      </c>
      <c r="F99" t="s">
        <v>47</v>
      </c>
      <c r="G99" t="s">
        <v>65</v>
      </c>
      <c r="H99" t="s">
        <v>22</v>
      </c>
      <c r="I99" t="s">
        <v>23</v>
      </c>
      <c r="J99" s="1">
        <v>130040</v>
      </c>
      <c r="K99" t="s">
        <v>486</v>
      </c>
      <c r="L99" t="s">
        <v>487</v>
      </c>
      <c r="M99" t="s">
        <v>81</v>
      </c>
      <c r="N99">
        <v>8</v>
      </c>
      <c r="O99">
        <v>137004</v>
      </c>
    </row>
    <row r="100" spans="1:15" x14ac:dyDescent="0.35">
      <c r="A100" t="s">
        <v>15</v>
      </c>
      <c r="B100" t="s">
        <v>16</v>
      </c>
      <c r="C100" t="s">
        <v>61</v>
      </c>
      <c r="D100" t="s">
        <v>488</v>
      </c>
      <c r="E100" t="s">
        <v>489</v>
      </c>
      <c r="F100" t="s">
        <v>244</v>
      </c>
      <c r="G100" t="s">
        <v>417</v>
      </c>
      <c r="H100" t="s">
        <v>41</v>
      </c>
      <c r="I100" t="s">
        <v>23</v>
      </c>
      <c r="J100" s="1">
        <v>97010</v>
      </c>
      <c r="K100" t="s">
        <v>490</v>
      </c>
      <c r="L100" t="s">
        <v>491</v>
      </c>
      <c r="M100" t="s">
        <v>492</v>
      </c>
      <c r="N100">
        <v>2</v>
      </c>
      <c r="O100">
        <v>214818</v>
      </c>
    </row>
    <row r="101" spans="1:15" x14ac:dyDescent="0.35">
      <c r="A101" t="s">
        <v>15</v>
      </c>
      <c r="B101" t="s">
        <v>16</v>
      </c>
      <c r="C101" t="s">
        <v>17</v>
      </c>
      <c r="D101" t="s">
        <v>493</v>
      </c>
      <c r="E101" t="s">
        <v>258</v>
      </c>
      <c r="F101" t="s">
        <v>47</v>
      </c>
      <c r="G101" t="s">
        <v>65</v>
      </c>
      <c r="H101" t="s">
        <v>41</v>
      </c>
      <c r="I101" t="s">
        <v>23</v>
      </c>
      <c r="J101">
        <v>830</v>
      </c>
      <c r="K101" t="s">
        <v>494</v>
      </c>
      <c r="L101" t="s">
        <v>495</v>
      </c>
      <c r="M101" t="s">
        <v>496</v>
      </c>
      <c r="N101">
        <v>8</v>
      </c>
      <c r="O101">
        <v>75357</v>
      </c>
    </row>
    <row r="102" spans="1:15" x14ac:dyDescent="0.35">
      <c r="A102" t="s">
        <v>15</v>
      </c>
      <c r="B102" t="s">
        <v>99</v>
      </c>
      <c r="C102" t="s">
        <v>61</v>
      </c>
      <c r="D102" t="s">
        <v>497</v>
      </c>
      <c r="E102" t="s">
        <v>228</v>
      </c>
      <c r="F102" t="s">
        <v>39</v>
      </c>
      <c r="G102" t="s">
        <v>498</v>
      </c>
      <c r="H102" t="s">
        <v>41</v>
      </c>
      <c r="I102" t="s">
        <v>58</v>
      </c>
      <c r="J102">
        <v>15</v>
      </c>
      <c r="K102" t="s">
        <v>58</v>
      </c>
      <c r="L102" t="s">
        <v>499</v>
      </c>
      <c r="M102" t="s">
        <v>500</v>
      </c>
      <c r="O102">
        <v>150707</v>
      </c>
    </row>
    <row r="103" spans="1:15" x14ac:dyDescent="0.35">
      <c r="A103" t="s">
        <v>15</v>
      </c>
      <c r="B103" t="s">
        <v>16</v>
      </c>
      <c r="C103" t="s">
        <v>36</v>
      </c>
      <c r="D103" t="s">
        <v>501</v>
      </c>
      <c r="E103" t="s">
        <v>502</v>
      </c>
      <c r="F103" t="s">
        <v>55</v>
      </c>
      <c r="G103" t="s">
        <v>245</v>
      </c>
      <c r="H103" t="s">
        <v>156</v>
      </c>
      <c r="I103" t="s">
        <v>23</v>
      </c>
      <c r="J103" s="1">
        <v>35020</v>
      </c>
      <c r="K103" t="s">
        <v>503</v>
      </c>
      <c r="L103" t="s">
        <v>504</v>
      </c>
      <c r="M103" t="s">
        <v>505</v>
      </c>
      <c r="N103">
        <v>3</v>
      </c>
      <c r="O103">
        <v>82201</v>
      </c>
    </row>
    <row r="104" spans="1:15" x14ac:dyDescent="0.35">
      <c r="A104" t="s">
        <v>15</v>
      </c>
      <c r="B104" t="s">
        <v>52</v>
      </c>
      <c r="C104" t="s">
        <v>17</v>
      </c>
      <c r="D104" t="s">
        <v>506</v>
      </c>
      <c r="E104" t="s">
        <v>507</v>
      </c>
      <c r="F104" t="s">
        <v>508</v>
      </c>
      <c r="G104" t="s">
        <v>90</v>
      </c>
      <c r="H104" t="s">
        <v>57</v>
      </c>
      <c r="I104" t="s">
        <v>58</v>
      </c>
      <c r="J104">
        <v>890</v>
      </c>
      <c r="K104" t="s">
        <v>509</v>
      </c>
      <c r="L104" t="s">
        <v>510</v>
      </c>
      <c r="M104" t="s">
        <v>60</v>
      </c>
      <c r="N104">
        <v>7</v>
      </c>
      <c r="O104">
        <v>198375.5</v>
      </c>
    </row>
    <row r="105" spans="1:15" x14ac:dyDescent="0.35">
      <c r="A105" t="s">
        <v>15</v>
      </c>
      <c r="B105" t="s">
        <v>52</v>
      </c>
      <c r="C105" t="s">
        <v>36</v>
      </c>
      <c r="D105" t="s">
        <v>511</v>
      </c>
      <c r="E105" t="s">
        <v>512</v>
      </c>
      <c r="F105" t="s">
        <v>513</v>
      </c>
      <c r="G105" t="s">
        <v>514</v>
      </c>
      <c r="H105" t="s">
        <v>41</v>
      </c>
      <c r="I105" t="s">
        <v>58</v>
      </c>
      <c r="J105">
        <v>180</v>
      </c>
      <c r="K105" t="s">
        <v>166</v>
      </c>
      <c r="L105" t="s">
        <v>515</v>
      </c>
      <c r="M105" t="s">
        <v>60</v>
      </c>
      <c r="N105">
        <v>22</v>
      </c>
      <c r="O105">
        <v>27409</v>
      </c>
    </row>
    <row r="106" spans="1:15" x14ac:dyDescent="0.35">
      <c r="A106" t="s">
        <v>15</v>
      </c>
      <c r="B106" t="s">
        <v>27</v>
      </c>
      <c r="C106" t="s">
        <v>17</v>
      </c>
      <c r="D106" t="s">
        <v>516</v>
      </c>
      <c r="E106" t="s">
        <v>517</v>
      </c>
      <c r="F106" t="s">
        <v>30</v>
      </c>
      <c r="G106" t="s">
        <v>150</v>
      </c>
      <c r="H106" t="s">
        <v>41</v>
      </c>
      <c r="I106" t="s">
        <v>23</v>
      </c>
      <c r="J106" s="1">
        <v>19470</v>
      </c>
      <c r="K106" t="s">
        <v>518</v>
      </c>
      <c r="L106" t="s">
        <v>519</v>
      </c>
      <c r="M106" t="s">
        <v>520</v>
      </c>
      <c r="N106">
        <v>15</v>
      </c>
      <c r="O106">
        <v>109605</v>
      </c>
    </row>
    <row r="107" spans="1:15" x14ac:dyDescent="0.35">
      <c r="A107" t="s">
        <v>15</v>
      </c>
      <c r="B107" t="s">
        <v>27</v>
      </c>
      <c r="C107" t="s">
        <v>17</v>
      </c>
      <c r="D107" t="s">
        <v>521</v>
      </c>
      <c r="E107" t="s">
        <v>522</v>
      </c>
      <c r="F107" t="s">
        <v>89</v>
      </c>
      <c r="G107" t="s">
        <v>523</v>
      </c>
      <c r="H107" t="s">
        <v>41</v>
      </c>
      <c r="I107" t="s">
        <v>58</v>
      </c>
      <c r="J107" s="1">
        <v>1230</v>
      </c>
      <c r="K107" t="s">
        <v>58</v>
      </c>
      <c r="L107" t="s">
        <v>524</v>
      </c>
      <c r="M107" t="s">
        <v>60</v>
      </c>
      <c r="O107">
        <v>199795</v>
      </c>
    </row>
    <row r="108" spans="1:15" x14ac:dyDescent="0.35">
      <c r="A108" t="s">
        <v>15</v>
      </c>
      <c r="B108" t="s">
        <v>16</v>
      </c>
      <c r="C108" t="s">
        <v>36</v>
      </c>
      <c r="D108" t="s">
        <v>525</v>
      </c>
      <c r="E108" t="s">
        <v>526</v>
      </c>
      <c r="F108" t="s">
        <v>125</v>
      </c>
      <c r="G108" t="s">
        <v>527</v>
      </c>
      <c r="H108" t="s">
        <v>41</v>
      </c>
      <c r="I108" t="s">
        <v>23</v>
      </c>
      <c r="J108" s="1">
        <v>40060</v>
      </c>
      <c r="K108" t="s">
        <v>528</v>
      </c>
      <c r="L108" t="s">
        <v>529</v>
      </c>
      <c r="M108" t="s">
        <v>530</v>
      </c>
      <c r="N108">
        <v>14</v>
      </c>
      <c r="O108">
        <v>106407</v>
      </c>
    </row>
    <row r="109" spans="1:15" x14ac:dyDescent="0.35">
      <c r="A109" t="s">
        <v>15</v>
      </c>
      <c r="B109" t="s">
        <v>16</v>
      </c>
      <c r="C109" t="s">
        <v>61</v>
      </c>
      <c r="D109" t="s">
        <v>531</v>
      </c>
      <c r="E109" t="s">
        <v>128</v>
      </c>
      <c r="F109" t="s">
        <v>47</v>
      </c>
      <c r="G109" t="s">
        <v>65</v>
      </c>
      <c r="H109" t="s">
        <v>41</v>
      </c>
      <c r="I109" t="s">
        <v>58</v>
      </c>
      <c r="J109" s="1">
        <v>1270</v>
      </c>
      <c r="K109" t="s">
        <v>166</v>
      </c>
      <c r="L109" t="s">
        <v>532</v>
      </c>
      <c r="M109" t="s">
        <v>533</v>
      </c>
      <c r="N109">
        <v>8</v>
      </c>
      <c r="O109">
        <v>639348</v>
      </c>
    </row>
    <row r="110" spans="1:15" x14ac:dyDescent="0.35">
      <c r="A110" t="s">
        <v>534</v>
      </c>
      <c r="B110" t="s">
        <v>99</v>
      </c>
      <c r="C110" t="s">
        <v>61</v>
      </c>
      <c r="D110" t="s">
        <v>535</v>
      </c>
      <c r="E110" t="s">
        <v>536</v>
      </c>
      <c r="F110" t="s">
        <v>30</v>
      </c>
      <c r="G110" t="s">
        <v>537</v>
      </c>
      <c r="H110" t="s">
        <v>115</v>
      </c>
      <c r="I110" t="s">
        <v>23</v>
      </c>
      <c r="J110" s="1">
        <v>82020</v>
      </c>
      <c r="K110" t="s">
        <v>23</v>
      </c>
      <c r="L110" t="s">
        <v>538</v>
      </c>
      <c r="M110" t="s">
        <v>189</v>
      </c>
      <c r="N110">
        <v>15</v>
      </c>
      <c r="O110">
        <v>69047</v>
      </c>
    </row>
    <row r="111" spans="1:15" x14ac:dyDescent="0.35">
      <c r="A111" t="s">
        <v>15</v>
      </c>
      <c r="B111" t="s">
        <v>16</v>
      </c>
      <c r="C111" t="s">
        <v>61</v>
      </c>
      <c r="D111" t="s">
        <v>539</v>
      </c>
      <c r="E111" t="s">
        <v>540</v>
      </c>
      <c r="F111" t="s">
        <v>399</v>
      </c>
      <c r="G111" t="s">
        <v>86</v>
      </c>
      <c r="H111" t="s">
        <v>41</v>
      </c>
      <c r="I111" t="s">
        <v>23</v>
      </c>
      <c r="J111" s="1">
        <v>222500</v>
      </c>
      <c r="K111" t="s">
        <v>23</v>
      </c>
      <c r="L111" t="s">
        <v>541</v>
      </c>
      <c r="M111" t="s">
        <v>542</v>
      </c>
      <c r="N111">
        <v>5</v>
      </c>
      <c r="O111">
        <v>135179</v>
      </c>
    </row>
    <row r="112" spans="1:15" x14ac:dyDescent="0.35">
      <c r="A112" t="s">
        <v>75</v>
      </c>
      <c r="B112" t="s">
        <v>52</v>
      </c>
      <c r="C112" t="s">
        <v>36</v>
      </c>
      <c r="D112" t="s">
        <v>543</v>
      </c>
      <c r="E112" t="s">
        <v>544</v>
      </c>
      <c r="F112" t="s">
        <v>139</v>
      </c>
      <c r="G112" t="s">
        <v>90</v>
      </c>
      <c r="H112" t="s">
        <v>41</v>
      </c>
      <c r="I112" t="s">
        <v>58</v>
      </c>
      <c r="J112">
        <v>580</v>
      </c>
      <c r="K112" t="s">
        <v>545</v>
      </c>
      <c r="L112" t="s">
        <v>546</v>
      </c>
      <c r="M112" t="s">
        <v>60</v>
      </c>
      <c r="N112">
        <v>13</v>
      </c>
      <c r="O112">
        <v>248888.5</v>
      </c>
    </row>
    <row r="113" spans="1:15" x14ac:dyDescent="0.35">
      <c r="A113" t="s">
        <v>15</v>
      </c>
      <c r="B113" t="s">
        <v>27</v>
      </c>
      <c r="C113" t="s">
        <v>17</v>
      </c>
      <c r="D113" t="s">
        <v>547</v>
      </c>
      <c r="E113" t="s">
        <v>335</v>
      </c>
      <c r="F113" t="s">
        <v>47</v>
      </c>
      <c r="G113" t="s">
        <v>65</v>
      </c>
      <c r="H113" t="s">
        <v>41</v>
      </c>
      <c r="I113" t="s">
        <v>58</v>
      </c>
      <c r="J113">
        <v>900</v>
      </c>
      <c r="K113" t="s">
        <v>58</v>
      </c>
      <c r="L113" t="s">
        <v>548</v>
      </c>
      <c r="M113" t="s">
        <v>549</v>
      </c>
      <c r="N113">
        <v>8</v>
      </c>
      <c r="O113">
        <v>19096</v>
      </c>
    </row>
    <row r="114" spans="1:15" x14ac:dyDescent="0.35">
      <c r="A114" t="s">
        <v>15</v>
      </c>
      <c r="B114" t="s">
        <v>16</v>
      </c>
      <c r="C114" t="s">
        <v>61</v>
      </c>
      <c r="D114" t="s">
        <v>550</v>
      </c>
      <c r="E114" t="s">
        <v>551</v>
      </c>
      <c r="F114" t="s">
        <v>341</v>
      </c>
      <c r="G114" t="s">
        <v>65</v>
      </c>
      <c r="H114" t="s">
        <v>41</v>
      </c>
      <c r="I114" t="s">
        <v>23</v>
      </c>
      <c r="J114" s="1">
        <v>10010</v>
      </c>
      <c r="K114" t="s">
        <v>23</v>
      </c>
      <c r="L114" t="s">
        <v>552</v>
      </c>
      <c r="M114" t="s">
        <v>553</v>
      </c>
      <c r="N114">
        <v>2</v>
      </c>
      <c r="O114">
        <v>99560</v>
      </c>
    </row>
    <row r="115" spans="1:15" x14ac:dyDescent="0.35">
      <c r="A115" t="s">
        <v>15</v>
      </c>
      <c r="B115" t="s">
        <v>16</v>
      </c>
      <c r="C115" t="s">
        <v>17</v>
      </c>
      <c r="D115" t="s">
        <v>271</v>
      </c>
      <c r="E115" t="s">
        <v>272</v>
      </c>
      <c r="F115" t="s">
        <v>399</v>
      </c>
      <c r="G115" t="s">
        <v>150</v>
      </c>
      <c r="H115" t="s">
        <v>41</v>
      </c>
      <c r="I115" t="s">
        <v>23</v>
      </c>
      <c r="J115" s="1">
        <v>24030</v>
      </c>
      <c r="K115" t="s">
        <v>23</v>
      </c>
      <c r="L115" t="s">
        <v>554</v>
      </c>
      <c r="M115" t="s">
        <v>274</v>
      </c>
      <c r="N115">
        <v>5</v>
      </c>
      <c r="O115">
        <v>132622.5</v>
      </c>
    </row>
    <row r="116" spans="1:15" x14ac:dyDescent="0.35">
      <c r="A116" t="s">
        <v>15</v>
      </c>
      <c r="B116" t="s">
        <v>52</v>
      </c>
      <c r="C116" t="s">
        <v>82</v>
      </c>
      <c r="D116" t="s">
        <v>555</v>
      </c>
      <c r="E116" t="s">
        <v>84</v>
      </c>
      <c r="F116" t="s">
        <v>196</v>
      </c>
      <c r="G116" t="s">
        <v>90</v>
      </c>
      <c r="H116" t="s">
        <v>22</v>
      </c>
      <c r="I116" t="s">
        <v>58</v>
      </c>
      <c r="J116" s="1">
        <v>12300</v>
      </c>
      <c r="K116" t="s">
        <v>556</v>
      </c>
      <c r="L116" t="s">
        <v>557</v>
      </c>
      <c r="M116" t="s">
        <v>60</v>
      </c>
      <c r="N116">
        <v>7</v>
      </c>
      <c r="O116">
        <v>137001</v>
      </c>
    </row>
    <row r="117" spans="1:15" x14ac:dyDescent="0.35">
      <c r="A117" t="s">
        <v>15</v>
      </c>
      <c r="B117" t="s">
        <v>16</v>
      </c>
      <c r="C117" t="s">
        <v>36</v>
      </c>
      <c r="D117" t="s">
        <v>558</v>
      </c>
      <c r="E117" t="s">
        <v>559</v>
      </c>
      <c r="F117" t="s">
        <v>513</v>
      </c>
      <c r="G117" t="s">
        <v>560</v>
      </c>
      <c r="H117" t="s">
        <v>73</v>
      </c>
      <c r="I117" t="s">
        <v>61</v>
      </c>
      <c r="J117" s="1">
        <v>9320</v>
      </c>
      <c r="K117" t="s">
        <v>73</v>
      </c>
      <c r="L117" t="s">
        <v>561</v>
      </c>
      <c r="M117" t="s">
        <v>172</v>
      </c>
      <c r="N117">
        <v>22</v>
      </c>
      <c r="O117">
        <v>66234.5</v>
      </c>
    </row>
    <row r="118" spans="1:15" x14ac:dyDescent="0.35">
      <c r="A118" t="s">
        <v>15</v>
      </c>
      <c r="B118" t="s">
        <v>16</v>
      </c>
      <c r="C118" t="s">
        <v>36</v>
      </c>
      <c r="D118" t="s">
        <v>562</v>
      </c>
      <c r="E118" t="s">
        <v>324</v>
      </c>
      <c r="F118" t="s">
        <v>30</v>
      </c>
      <c r="G118" t="s">
        <v>381</v>
      </c>
      <c r="H118" t="s">
        <v>115</v>
      </c>
      <c r="I118" t="s">
        <v>23</v>
      </c>
      <c r="J118" s="1">
        <v>24020</v>
      </c>
      <c r="K118" t="s">
        <v>563</v>
      </c>
      <c r="L118" t="s">
        <v>564</v>
      </c>
      <c r="M118" t="s">
        <v>565</v>
      </c>
      <c r="N118">
        <v>15</v>
      </c>
      <c r="O118">
        <v>84759.5</v>
      </c>
    </row>
    <row r="119" spans="1:15" x14ac:dyDescent="0.35">
      <c r="A119" t="s">
        <v>15</v>
      </c>
      <c r="B119" t="s">
        <v>16</v>
      </c>
      <c r="C119" t="s">
        <v>17</v>
      </c>
      <c r="D119" t="s">
        <v>190</v>
      </c>
      <c r="E119" t="s">
        <v>566</v>
      </c>
      <c r="F119" t="s">
        <v>513</v>
      </c>
      <c r="G119" t="s">
        <v>90</v>
      </c>
      <c r="H119" t="s">
        <v>41</v>
      </c>
      <c r="I119" t="s">
        <v>23</v>
      </c>
      <c r="J119" s="1">
        <v>26910</v>
      </c>
      <c r="K119" t="s">
        <v>567</v>
      </c>
      <c r="L119" t="s">
        <v>568</v>
      </c>
      <c r="M119" t="s">
        <v>51</v>
      </c>
      <c r="N119">
        <v>22</v>
      </c>
      <c r="O119">
        <v>50222</v>
      </c>
    </row>
    <row r="120" spans="1:15" x14ac:dyDescent="0.35">
      <c r="A120" t="s">
        <v>15</v>
      </c>
      <c r="B120" t="s">
        <v>99</v>
      </c>
      <c r="C120" t="s">
        <v>36</v>
      </c>
      <c r="D120" t="s">
        <v>569</v>
      </c>
      <c r="E120" t="s">
        <v>570</v>
      </c>
      <c r="F120" t="s">
        <v>85</v>
      </c>
      <c r="G120" t="s">
        <v>571</v>
      </c>
      <c r="H120" t="s">
        <v>115</v>
      </c>
      <c r="I120" t="s">
        <v>23</v>
      </c>
      <c r="J120" s="1">
        <v>49360</v>
      </c>
      <c r="K120" t="s">
        <v>572</v>
      </c>
      <c r="L120" t="s">
        <v>573</v>
      </c>
      <c r="M120" t="s">
        <v>60</v>
      </c>
      <c r="N120">
        <v>6</v>
      </c>
      <c r="O120">
        <v>137003</v>
      </c>
    </row>
    <row r="121" spans="1:15" x14ac:dyDescent="0.35">
      <c r="A121" t="s">
        <v>15</v>
      </c>
      <c r="B121" t="s">
        <v>16</v>
      </c>
      <c r="C121" t="s">
        <v>36</v>
      </c>
      <c r="D121" t="s">
        <v>574</v>
      </c>
      <c r="E121" t="s">
        <v>575</v>
      </c>
      <c r="F121" t="s">
        <v>203</v>
      </c>
      <c r="G121" t="s">
        <v>576</v>
      </c>
      <c r="H121" t="s">
        <v>115</v>
      </c>
      <c r="I121" t="s">
        <v>23</v>
      </c>
      <c r="J121" s="1">
        <v>78750</v>
      </c>
      <c r="K121" t="s">
        <v>577</v>
      </c>
      <c r="L121" t="s">
        <v>578</v>
      </c>
      <c r="M121" t="s">
        <v>256</v>
      </c>
      <c r="N121">
        <v>25</v>
      </c>
      <c r="O121">
        <v>124219</v>
      </c>
    </row>
    <row r="122" spans="1:15" x14ac:dyDescent="0.35">
      <c r="A122" t="s">
        <v>15</v>
      </c>
      <c r="B122" t="s">
        <v>16</v>
      </c>
      <c r="C122" t="s">
        <v>82</v>
      </c>
      <c r="D122" t="s">
        <v>579</v>
      </c>
      <c r="E122" t="s">
        <v>228</v>
      </c>
      <c r="F122" t="s">
        <v>399</v>
      </c>
      <c r="G122" t="s">
        <v>580</v>
      </c>
      <c r="H122" t="s">
        <v>41</v>
      </c>
      <c r="I122" t="s">
        <v>23</v>
      </c>
      <c r="J122" s="1">
        <v>27450</v>
      </c>
      <c r="K122" t="s">
        <v>23</v>
      </c>
      <c r="L122" t="s">
        <v>581</v>
      </c>
      <c r="M122" t="s">
        <v>256</v>
      </c>
      <c r="N122">
        <v>5</v>
      </c>
      <c r="O122">
        <v>134185.5</v>
      </c>
    </row>
    <row r="123" spans="1:15" x14ac:dyDescent="0.35">
      <c r="A123" t="s">
        <v>15</v>
      </c>
      <c r="B123" t="s">
        <v>27</v>
      </c>
      <c r="C123" t="s">
        <v>36</v>
      </c>
      <c r="D123" t="s">
        <v>582</v>
      </c>
      <c r="E123" t="s">
        <v>583</v>
      </c>
      <c r="F123" t="s">
        <v>30</v>
      </c>
      <c r="G123" t="s">
        <v>584</v>
      </c>
      <c r="H123" t="s">
        <v>57</v>
      </c>
      <c r="I123" t="s">
        <v>58</v>
      </c>
      <c r="J123" s="1">
        <v>33030</v>
      </c>
      <c r="K123" t="s">
        <v>58</v>
      </c>
      <c r="L123" t="s">
        <v>585</v>
      </c>
      <c r="M123" t="s">
        <v>586</v>
      </c>
      <c r="N123">
        <v>15</v>
      </c>
      <c r="O123">
        <v>137008</v>
      </c>
    </row>
    <row r="124" spans="1:15" x14ac:dyDescent="0.35">
      <c r="A124" t="s">
        <v>15</v>
      </c>
      <c r="B124" t="s">
        <v>16</v>
      </c>
      <c r="C124" t="s">
        <v>82</v>
      </c>
      <c r="D124" t="s">
        <v>587</v>
      </c>
      <c r="E124" t="s">
        <v>243</v>
      </c>
      <c r="F124" t="s">
        <v>89</v>
      </c>
      <c r="G124" t="s">
        <v>588</v>
      </c>
      <c r="H124" t="s">
        <v>41</v>
      </c>
      <c r="I124" t="s">
        <v>58</v>
      </c>
      <c r="J124">
        <v>30</v>
      </c>
      <c r="K124" t="s">
        <v>58</v>
      </c>
      <c r="L124" t="s">
        <v>589</v>
      </c>
      <c r="M124" t="s">
        <v>241</v>
      </c>
      <c r="O124">
        <v>146135</v>
      </c>
    </row>
    <row r="125" spans="1:15" x14ac:dyDescent="0.35">
      <c r="A125" t="s">
        <v>15</v>
      </c>
      <c r="B125" t="s">
        <v>16</v>
      </c>
      <c r="C125" t="s">
        <v>61</v>
      </c>
      <c r="D125" t="s">
        <v>142</v>
      </c>
      <c r="E125" t="s">
        <v>590</v>
      </c>
      <c r="F125" t="s">
        <v>399</v>
      </c>
      <c r="G125" t="s">
        <v>144</v>
      </c>
      <c r="H125" t="s">
        <v>115</v>
      </c>
      <c r="I125" t="s">
        <v>23</v>
      </c>
      <c r="J125" s="1">
        <v>93560</v>
      </c>
      <c r="K125" t="s">
        <v>145</v>
      </c>
      <c r="L125" t="s">
        <v>591</v>
      </c>
      <c r="M125" t="s">
        <v>592</v>
      </c>
      <c r="N125">
        <v>5</v>
      </c>
      <c r="O125">
        <v>74130</v>
      </c>
    </row>
    <row r="126" spans="1:15" x14ac:dyDescent="0.35">
      <c r="A126" t="s">
        <v>15</v>
      </c>
      <c r="B126" t="s">
        <v>16</v>
      </c>
      <c r="C126" t="s">
        <v>17</v>
      </c>
      <c r="D126" t="s">
        <v>593</v>
      </c>
      <c r="E126" t="s">
        <v>208</v>
      </c>
      <c r="F126" t="s">
        <v>244</v>
      </c>
      <c r="G126" t="s">
        <v>594</v>
      </c>
      <c r="H126" t="s">
        <v>41</v>
      </c>
      <c r="I126" t="s">
        <v>58</v>
      </c>
      <c r="J126">
        <v>180</v>
      </c>
      <c r="K126" t="s">
        <v>58</v>
      </c>
      <c r="L126" t="s">
        <v>595</v>
      </c>
      <c r="M126" t="s">
        <v>596</v>
      </c>
      <c r="N126">
        <v>2</v>
      </c>
      <c r="O126">
        <v>100472.5</v>
      </c>
    </row>
    <row r="127" spans="1:15" x14ac:dyDescent="0.35">
      <c r="A127" t="s">
        <v>15</v>
      </c>
      <c r="B127" t="s">
        <v>52</v>
      </c>
      <c r="C127" t="s">
        <v>36</v>
      </c>
      <c r="D127" t="s">
        <v>597</v>
      </c>
      <c r="E127" t="s">
        <v>598</v>
      </c>
      <c r="F127" t="s">
        <v>47</v>
      </c>
      <c r="G127" t="s">
        <v>599</v>
      </c>
      <c r="H127" t="s">
        <v>41</v>
      </c>
      <c r="I127" t="s">
        <v>23</v>
      </c>
      <c r="J127" s="1">
        <v>2820</v>
      </c>
      <c r="K127" t="s">
        <v>23</v>
      </c>
      <c r="L127" t="s">
        <v>600</v>
      </c>
      <c r="M127" t="s">
        <v>60</v>
      </c>
      <c r="N127">
        <v>8</v>
      </c>
      <c r="O127">
        <v>105715.5</v>
      </c>
    </row>
    <row r="128" spans="1:15" x14ac:dyDescent="0.35">
      <c r="A128" t="s">
        <v>15</v>
      </c>
      <c r="B128" t="s">
        <v>16</v>
      </c>
      <c r="C128" t="s">
        <v>36</v>
      </c>
      <c r="D128" t="s">
        <v>601</v>
      </c>
      <c r="E128" t="s">
        <v>602</v>
      </c>
      <c r="F128" t="s">
        <v>30</v>
      </c>
      <c r="G128" t="s">
        <v>65</v>
      </c>
      <c r="H128" t="s">
        <v>57</v>
      </c>
      <c r="I128" t="s">
        <v>23</v>
      </c>
      <c r="J128" s="1">
        <v>290800</v>
      </c>
      <c r="K128" t="s">
        <v>603</v>
      </c>
      <c r="L128" t="s">
        <v>604</v>
      </c>
      <c r="M128" t="s">
        <v>605</v>
      </c>
      <c r="N128">
        <v>15</v>
      </c>
      <c r="O128">
        <v>141571.5</v>
      </c>
    </row>
    <row r="129" spans="1:15" x14ac:dyDescent="0.35">
      <c r="A129" t="s">
        <v>15</v>
      </c>
      <c r="B129" t="s">
        <v>99</v>
      </c>
      <c r="C129" t="s">
        <v>61</v>
      </c>
      <c r="D129" t="s">
        <v>606</v>
      </c>
      <c r="E129" t="s">
        <v>120</v>
      </c>
      <c r="F129" t="s">
        <v>47</v>
      </c>
      <c r="G129" t="s">
        <v>65</v>
      </c>
      <c r="H129" t="s">
        <v>57</v>
      </c>
      <c r="I129" t="s">
        <v>58</v>
      </c>
      <c r="J129" s="1">
        <v>23320</v>
      </c>
      <c r="K129" t="s">
        <v>58</v>
      </c>
      <c r="L129" t="s">
        <v>607</v>
      </c>
      <c r="M129" t="s">
        <v>608</v>
      </c>
      <c r="N129">
        <v>8</v>
      </c>
      <c r="O129">
        <v>173540</v>
      </c>
    </row>
    <row r="130" spans="1:15" x14ac:dyDescent="0.35">
      <c r="A130" t="s">
        <v>15</v>
      </c>
      <c r="B130" t="s">
        <v>27</v>
      </c>
      <c r="C130" t="s">
        <v>61</v>
      </c>
      <c r="D130" t="s">
        <v>609</v>
      </c>
      <c r="E130" t="s">
        <v>63</v>
      </c>
      <c r="F130" t="s">
        <v>312</v>
      </c>
      <c r="G130" t="s">
        <v>610</v>
      </c>
      <c r="H130" t="s">
        <v>115</v>
      </c>
      <c r="I130" t="s">
        <v>58</v>
      </c>
      <c r="J130" s="1">
        <v>76020</v>
      </c>
      <c r="K130" t="s">
        <v>58</v>
      </c>
      <c r="L130" t="s">
        <v>611</v>
      </c>
      <c r="M130" t="s">
        <v>612</v>
      </c>
      <c r="N130">
        <v>4</v>
      </c>
      <c r="O130">
        <v>205224</v>
      </c>
    </row>
    <row r="131" spans="1:15" x14ac:dyDescent="0.35">
      <c r="A131" t="s">
        <v>15</v>
      </c>
      <c r="B131" t="s">
        <v>27</v>
      </c>
      <c r="C131" t="s">
        <v>17</v>
      </c>
      <c r="D131" t="s">
        <v>613</v>
      </c>
      <c r="E131" t="s">
        <v>614</v>
      </c>
      <c r="F131" t="s">
        <v>399</v>
      </c>
      <c r="G131" t="s">
        <v>90</v>
      </c>
      <c r="H131" t="s">
        <v>115</v>
      </c>
      <c r="I131" t="s">
        <v>58</v>
      </c>
      <c r="J131">
        <v>500</v>
      </c>
      <c r="K131" t="s">
        <v>615</v>
      </c>
      <c r="L131" t="s">
        <v>616</v>
      </c>
      <c r="M131" t="s">
        <v>60</v>
      </c>
      <c r="N131">
        <v>5</v>
      </c>
      <c r="O131">
        <v>258704</v>
      </c>
    </row>
    <row r="132" spans="1:15" x14ac:dyDescent="0.35">
      <c r="A132" t="s">
        <v>15</v>
      </c>
      <c r="B132" t="s">
        <v>16</v>
      </c>
      <c r="C132" t="s">
        <v>61</v>
      </c>
      <c r="D132" t="s">
        <v>617</v>
      </c>
      <c r="E132" t="s">
        <v>618</v>
      </c>
      <c r="F132" t="s">
        <v>78</v>
      </c>
      <c r="G132" t="s">
        <v>619</v>
      </c>
      <c r="H132" t="s">
        <v>115</v>
      </c>
      <c r="I132" t="s">
        <v>23</v>
      </c>
      <c r="J132" s="1">
        <v>2520</v>
      </c>
      <c r="K132" t="s">
        <v>23</v>
      </c>
      <c r="L132" t="s">
        <v>620</v>
      </c>
      <c r="M132" t="s">
        <v>621</v>
      </c>
      <c r="N132">
        <v>9</v>
      </c>
      <c r="O132">
        <v>75351.5</v>
      </c>
    </row>
    <row r="133" spans="1:15" x14ac:dyDescent="0.35">
      <c r="A133" t="s">
        <v>15</v>
      </c>
      <c r="B133" t="s">
        <v>52</v>
      </c>
      <c r="C133" t="s">
        <v>36</v>
      </c>
      <c r="D133" t="s">
        <v>622</v>
      </c>
      <c r="E133" t="s">
        <v>134</v>
      </c>
      <c r="F133" t="s">
        <v>47</v>
      </c>
      <c r="G133" t="s">
        <v>623</v>
      </c>
      <c r="H133" t="s">
        <v>41</v>
      </c>
      <c r="I133" t="s">
        <v>58</v>
      </c>
      <c r="J133" s="1">
        <v>3760</v>
      </c>
      <c r="K133" t="s">
        <v>166</v>
      </c>
      <c r="L133" t="s">
        <v>624</v>
      </c>
      <c r="M133" t="s">
        <v>60</v>
      </c>
      <c r="N133">
        <v>8</v>
      </c>
      <c r="O133">
        <v>130155</v>
      </c>
    </row>
    <row r="134" spans="1:15" x14ac:dyDescent="0.35">
      <c r="A134" t="s">
        <v>15</v>
      </c>
      <c r="B134" t="s">
        <v>16</v>
      </c>
      <c r="C134" t="s">
        <v>36</v>
      </c>
      <c r="D134" t="s">
        <v>625</v>
      </c>
      <c r="E134" t="s">
        <v>626</v>
      </c>
      <c r="F134" t="s">
        <v>312</v>
      </c>
      <c r="G134" t="s">
        <v>90</v>
      </c>
      <c r="H134" t="s">
        <v>41</v>
      </c>
      <c r="I134" t="s">
        <v>58</v>
      </c>
      <c r="J134">
        <v>150</v>
      </c>
      <c r="K134" t="s">
        <v>627</v>
      </c>
      <c r="L134" t="s">
        <v>628</v>
      </c>
      <c r="M134" t="s">
        <v>118</v>
      </c>
      <c r="N134">
        <v>4</v>
      </c>
      <c r="O134">
        <v>155274</v>
      </c>
    </row>
    <row r="135" spans="1:15" x14ac:dyDescent="0.35">
      <c r="A135" t="s">
        <v>15</v>
      </c>
      <c r="B135" t="s">
        <v>16</v>
      </c>
      <c r="C135" t="s">
        <v>17</v>
      </c>
      <c r="D135" t="s">
        <v>629</v>
      </c>
      <c r="E135" t="s">
        <v>219</v>
      </c>
      <c r="F135" t="s">
        <v>85</v>
      </c>
      <c r="G135" t="s">
        <v>221</v>
      </c>
      <c r="H135" t="s">
        <v>57</v>
      </c>
      <c r="I135" t="s">
        <v>23</v>
      </c>
      <c r="J135" s="1">
        <v>21050</v>
      </c>
      <c r="K135" t="s">
        <v>630</v>
      </c>
      <c r="L135" t="s">
        <v>631</v>
      </c>
      <c r="M135" t="s">
        <v>632</v>
      </c>
      <c r="N135">
        <v>6</v>
      </c>
      <c r="O135">
        <v>156774.5</v>
      </c>
    </row>
    <row r="136" spans="1:15" x14ac:dyDescent="0.35">
      <c r="A136" t="s">
        <v>75</v>
      </c>
      <c r="B136" t="s">
        <v>16</v>
      </c>
      <c r="C136" t="s">
        <v>17</v>
      </c>
      <c r="D136" t="s">
        <v>37</v>
      </c>
      <c r="E136" t="s">
        <v>633</v>
      </c>
      <c r="F136" t="s">
        <v>39</v>
      </c>
      <c r="G136" t="s">
        <v>40</v>
      </c>
      <c r="H136" t="s">
        <v>41</v>
      </c>
      <c r="I136" t="s">
        <v>23</v>
      </c>
      <c r="J136" s="1">
        <v>25940</v>
      </c>
      <c r="K136" t="s">
        <v>634</v>
      </c>
      <c r="L136" t="s">
        <v>635</v>
      </c>
      <c r="M136" t="s">
        <v>605</v>
      </c>
      <c r="O136">
        <v>61654.5</v>
      </c>
    </row>
    <row r="137" spans="1:15" x14ac:dyDescent="0.35">
      <c r="A137" t="s">
        <v>15</v>
      </c>
      <c r="B137" t="s">
        <v>16</v>
      </c>
      <c r="C137" t="s">
        <v>36</v>
      </c>
      <c r="D137" t="s">
        <v>636</v>
      </c>
      <c r="E137" t="s">
        <v>637</v>
      </c>
      <c r="F137" t="s">
        <v>196</v>
      </c>
      <c r="G137" t="s">
        <v>638</v>
      </c>
      <c r="H137" t="s">
        <v>115</v>
      </c>
      <c r="I137" t="s">
        <v>23</v>
      </c>
      <c r="J137" s="1">
        <v>103540</v>
      </c>
      <c r="K137" t="s">
        <v>639</v>
      </c>
      <c r="L137" t="s">
        <v>640</v>
      </c>
      <c r="M137" t="s">
        <v>641</v>
      </c>
      <c r="N137">
        <v>7</v>
      </c>
      <c r="O137">
        <v>79187</v>
      </c>
    </row>
    <row r="138" spans="1:15" x14ac:dyDescent="0.35">
      <c r="A138" t="s">
        <v>15</v>
      </c>
      <c r="B138" t="s">
        <v>16</v>
      </c>
      <c r="C138" t="s">
        <v>61</v>
      </c>
      <c r="D138" t="s">
        <v>480</v>
      </c>
      <c r="E138" t="s">
        <v>642</v>
      </c>
      <c r="F138" t="s">
        <v>47</v>
      </c>
      <c r="G138" t="s">
        <v>482</v>
      </c>
      <c r="H138" t="s">
        <v>41</v>
      </c>
      <c r="I138" t="s">
        <v>58</v>
      </c>
      <c r="J138" s="1">
        <v>3780</v>
      </c>
      <c r="K138" t="s">
        <v>58</v>
      </c>
      <c r="L138" t="s">
        <v>643</v>
      </c>
      <c r="M138" t="s">
        <v>644</v>
      </c>
      <c r="N138">
        <v>8</v>
      </c>
      <c r="O138">
        <v>98643</v>
      </c>
    </row>
    <row r="139" spans="1:15" x14ac:dyDescent="0.35">
      <c r="A139" t="s">
        <v>15</v>
      </c>
      <c r="B139" t="s">
        <v>16</v>
      </c>
      <c r="C139" t="s">
        <v>61</v>
      </c>
      <c r="D139" t="s">
        <v>645</v>
      </c>
      <c r="E139" t="s">
        <v>646</v>
      </c>
      <c r="F139" t="s">
        <v>196</v>
      </c>
      <c r="G139" t="s">
        <v>647</v>
      </c>
      <c r="H139" t="s">
        <v>57</v>
      </c>
      <c r="I139" t="s">
        <v>23</v>
      </c>
      <c r="J139" s="1">
        <v>30870</v>
      </c>
      <c r="K139" t="s">
        <v>23</v>
      </c>
      <c r="L139" t="s">
        <v>648</v>
      </c>
      <c r="M139" t="s">
        <v>649</v>
      </c>
      <c r="N139">
        <v>7</v>
      </c>
      <c r="O139">
        <v>67044</v>
      </c>
    </row>
    <row r="140" spans="1:15" x14ac:dyDescent="0.35">
      <c r="A140" t="s">
        <v>15</v>
      </c>
      <c r="B140" t="s">
        <v>16</v>
      </c>
      <c r="C140" t="s">
        <v>61</v>
      </c>
      <c r="D140" t="s">
        <v>650</v>
      </c>
      <c r="E140" t="s">
        <v>651</v>
      </c>
      <c r="F140" t="s">
        <v>39</v>
      </c>
      <c r="G140" t="s">
        <v>95</v>
      </c>
      <c r="H140" t="s">
        <v>57</v>
      </c>
      <c r="I140" t="s">
        <v>23</v>
      </c>
      <c r="J140" s="1">
        <v>274280</v>
      </c>
      <c r="K140" t="s">
        <v>652</v>
      </c>
      <c r="L140" t="s">
        <v>653</v>
      </c>
      <c r="M140" t="s">
        <v>654</v>
      </c>
      <c r="O140">
        <v>187788</v>
      </c>
    </row>
    <row r="141" spans="1:15" x14ac:dyDescent="0.35">
      <c r="A141" t="s">
        <v>15</v>
      </c>
      <c r="B141" t="s">
        <v>27</v>
      </c>
      <c r="C141" t="s">
        <v>61</v>
      </c>
      <c r="D141" t="s">
        <v>655</v>
      </c>
      <c r="E141" t="s">
        <v>63</v>
      </c>
      <c r="F141" t="s">
        <v>244</v>
      </c>
      <c r="G141" t="s">
        <v>656</v>
      </c>
      <c r="H141" t="s">
        <v>115</v>
      </c>
      <c r="I141" t="s">
        <v>23</v>
      </c>
      <c r="J141" s="1">
        <v>300070</v>
      </c>
      <c r="K141" t="s">
        <v>657</v>
      </c>
      <c r="L141" t="s">
        <v>658</v>
      </c>
      <c r="M141" t="s">
        <v>659</v>
      </c>
      <c r="N141">
        <v>2</v>
      </c>
      <c r="O141">
        <v>197557</v>
      </c>
    </row>
    <row r="142" spans="1:15" x14ac:dyDescent="0.35">
      <c r="A142" t="s">
        <v>15</v>
      </c>
      <c r="B142" t="s">
        <v>99</v>
      </c>
      <c r="C142" t="s">
        <v>36</v>
      </c>
      <c r="D142" t="s">
        <v>574</v>
      </c>
      <c r="E142" t="s">
        <v>660</v>
      </c>
      <c r="F142" t="s">
        <v>399</v>
      </c>
      <c r="G142" t="s">
        <v>576</v>
      </c>
      <c r="H142" t="s">
        <v>115</v>
      </c>
      <c r="I142" t="s">
        <v>23</v>
      </c>
      <c r="J142" s="1">
        <v>78720</v>
      </c>
      <c r="K142" t="s">
        <v>661</v>
      </c>
      <c r="L142" t="s">
        <v>662</v>
      </c>
      <c r="M142" t="s">
        <v>663</v>
      </c>
      <c r="N142">
        <v>5</v>
      </c>
      <c r="O142">
        <v>148692.5</v>
      </c>
    </row>
    <row r="143" spans="1:15" x14ac:dyDescent="0.35">
      <c r="A143" t="s">
        <v>15</v>
      </c>
      <c r="B143" t="s">
        <v>16</v>
      </c>
      <c r="C143" t="s">
        <v>36</v>
      </c>
      <c r="D143" t="s">
        <v>664</v>
      </c>
      <c r="E143" t="s">
        <v>665</v>
      </c>
      <c r="F143" t="s">
        <v>39</v>
      </c>
      <c r="G143" t="s">
        <v>79</v>
      </c>
      <c r="H143" t="s">
        <v>41</v>
      </c>
      <c r="I143" t="s">
        <v>23</v>
      </c>
      <c r="J143" s="1">
        <v>94540</v>
      </c>
      <c r="K143" t="s">
        <v>666</v>
      </c>
      <c r="L143" t="s">
        <v>667</v>
      </c>
      <c r="M143" t="s">
        <v>118</v>
      </c>
      <c r="O143">
        <v>188604.5</v>
      </c>
    </row>
    <row r="144" spans="1:15" x14ac:dyDescent="0.35">
      <c r="A144" t="s">
        <v>15</v>
      </c>
      <c r="B144" t="s">
        <v>27</v>
      </c>
      <c r="C144" t="s">
        <v>17</v>
      </c>
      <c r="D144" t="s">
        <v>668</v>
      </c>
      <c r="E144" t="s">
        <v>507</v>
      </c>
      <c r="F144" t="s">
        <v>39</v>
      </c>
      <c r="G144" t="s">
        <v>238</v>
      </c>
      <c r="H144" t="s">
        <v>41</v>
      </c>
      <c r="I144" t="s">
        <v>58</v>
      </c>
      <c r="J144">
        <v>360</v>
      </c>
      <c r="K144" t="s">
        <v>669</v>
      </c>
      <c r="L144" t="s">
        <v>670</v>
      </c>
      <c r="M144" t="s">
        <v>60</v>
      </c>
      <c r="O144">
        <v>294100</v>
      </c>
    </row>
    <row r="145" spans="1:15" x14ac:dyDescent="0.35">
      <c r="A145" t="s">
        <v>15</v>
      </c>
      <c r="B145" t="s">
        <v>52</v>
      </c>
      <c r="C145" t="s">
        <v>36</v>
      </c>
      <c r="D145" t="s">
        <v>671</v>
      </c>
      <c r="E145" t="s">
        <v>672</v>
      </c>
      <c r="F145" t="s">
        <v>47</v>
      </c>
      <c r="G145" t="s">
        <v>90</v>
      </c>
      <c r="H145" t="s">
        <v>41</v>
      </c>
      <c r="I145" t="s">
        <v>58</v>
      </c>
      <c r="J145">
        <v>500</v>
      </c>
      <c r="K145" t="s">
        <v>58</v>
      </c>
      <c r="L145" t="s">
        <v>673</v>
      </c>
      <c r="M145" t="s">
        <v>60</v>
      </c>
      <c r="N145">
        <v>8</v>
      </c>
      <c r="O145">
        <v>141573.5</v>
      </c>
    </row>
    <row r="146" spans="1:15" x14ac:dyDescent="0.35">
      <c r="A146" t="s">
        <v>75</v>
      </c>
      <c r="B146" t="s">
        <v>16</v>
      </c>
      <c r="C146" t="s">
        <v>61</v>
      </c>
      <c r="D146" t="s">
        <v>317</v>
      </c>
      <c r="E146" t="s">
        <v>318</v>
      </c>
      <c r="F146" t="s">
        <v>341</v>
      </c>
      <c r="G146" t="s">
        <v>319</v>
      </c>
      <c r="H146" t="s">
        <v>320</v>
      </c>
      <c r="I146" t="s">
        <v>58</v>
      </c>
      <c r="J146" s="1">
        <v>38130</v>
      </c>
      <c r="K146" t="s">
        <v>674</v>
      </c>
      <c r="L146" t="s">
        <v>675</v>
      </c>
      <c r="M146" t="s">
        <v>323</v>
      </c>
      <c r="N146">
        <v>2</v>
      </c>
      <c r="O146">
        <v>26760</v>
      </c>
    </row>
    <row r="147" spans="1:15" x14ac:dyDescent="0.35">
      <c r="A147" t="s">
        <v>15</v>
      </c>
      <c r="B147" t="s">
        <v>99</v>
      </c>
      <c r="C147" t="s">
        <v>82</v>
      </c>
      <c r="D147" t="s">
        <v>676</v>
      </c>
      <c r="E147" t="s">
        <v>677</v>
      </c>
      <c r="F147" t="s">
        <v>39</v>
      </c>
      <c r="G147" t="s">
        <v>678</v>
      </c>
      <c r="H147" t="s">
        <v>41</v>
      </c>
      <c r="I147" t="s">
        <v>58</v>
      </c>
      <c r="J147">
        <v>60</v>
      </c>
      <c r="K147" t="s">
        <v>58</v>
      </c>
      <c r="L147" t="s">
        <v>679</v>
      </c>
      <c r="M147" t="s">
        <v>680</v>
      </c>
      <c r="O147">
        <v>146133</v>
      </c>
    </row>
    <row r="148" spans="1:15" x14ac:dyDescent="0.35">
      <c r="A148" t="s">
        <v>15</v>
      </c>
      <c r="B148" t="s">
        <v>16</v>
      </c>
      <c r="C148" t="s">
        <v>82</v>
      </c>
      <c r="D148" t="s">
        <v>681</v>
      </c>
      <c r="E148" t="s">
        <v>682</v>
      </c>
      <c r="F148" t="s">
        <v>399</v>
      </c>
      <c r="G148" t="s">
        <v>683</v>
      </c>
      <c r="H148" t="s">
        <v>115</v>
      </c>
      <c r="I148" t="s">
        <v>23</v>
      </c>
      <c r="J148" s="1">
        <v>28070</v>
      </c>
      <c r="K148" t="s">
        <v>23</v>
      </c>
      <c r="L148" t="s">
        <v>684</v>
      </c>
      <c r="M148" t="s">
        <v>685</v>
      </c>
      <c r="N148">
        <v>5</v>
      </c>
      <c r="O148">
        <v>89051</v>
      </c>
    </row>
    <row r="149" spans="1:15" x14ac:dyDescent="0.35">
      <c r="A149" t="s">
        <v>15</v>
      </c>
      <c r="B149" t="s">
        <v>27</v>
      </c>
      <c r="C149" t="s">
        <v>17</v>
      </c>
      <c r="D149" t="s">
        <v>334</v>
      </c>
      <c r="E149" t="s">
        <v>258</v>
      </c>
      <c r="F149" t="s">
        <v>39</v>
      </c>
      <c r="G149" t="s">
        <v>336</v>
      </c>
      <c r="H149" t="s">
        <v>57</v>
      </c>
      <c r="I149" t="s">
        <v>23</v>
      </c>
      <c r="J149" s="1">
        <v>68430</v>
      </c>
      <c r="K149" t="s">
        <v>23</v>
      </c>
      <c r="L149" t="s">
        <v>686</v>
      </c>
      <c r="M149" t="s">
        <v>687</v>
      </c>
      <c r="O149">
        <v>137002</v>
      </c>
    </row>
    <row r="150" spans="1:15" x14ac:dyDescent="0.35">
      <c r="A150" t="s">
        <v>15</v>
      </c>
      <c r="B150" t="s">
        <v>16</v>
      </c>
      <c r="C150" t="s">
        <v>61</v>
      </c>
      <c r="D150" t="s">
        <v>525</v>
      </c>
      <c r="E150" t="s">
        <v>688</v>
      </c>
      <c r="F150" t="s">
        <v>441</v>
      </c>
      <c r="G150" t="s">
        <v>527</v>
      </c>
      <c r="H150" t="s">
        <v>41</v>
      </c>
      <c r="I150" t="s">
        <v>23</v>
      </c>
      <c r="J150" s="1">
        <v>40050</v>
      </c>
      <c r="K150" t="s">
        <v>689</v>
      </c>
      <c r="L150" t="s">
        <v>690</v>
      </c>
      <c r="M150" t="s">
        <v>691</v>
      </c>
      <c r="N150">
        <v>10</v>
      </c>
      <c r="O150">
        <v>24621</v>
      </c>
    </row>
    <row r="151" spans="1:15" x14ac:dyDescent="0.35">
      <c r="A151" t="s">
        <v>15</v>
      </c>
      <c r="B151" t="s">
        <v>69</v>
      </c>
      <c r="C151" t="s">
        <v>61</v>
      </c>
      <c r="D151" t="s">
        <v>168</v>
      </c>
      <c r="E151" t="s">
        <v>128</v>
      </c>
      <c r="F151" t="s">
        <v>39</v>
      </c>
      <c r="G151" t="s">
        <v>169</v>
      </c>
      <c r="H151" t="s">
        <v>41</v>
      </c>
      <c r="I151" t="s">
        <v>23</v>
      </c>
      <c r="J151" s="1">
        <v>222040</v>
      </c>
      <c r="K151" t="s">
        <v>692</v>
      </c>
      <c r="L151" t="s">
        <v>693</v>
      </c>
      <c r="M151" t="s">
        <v>172</v>
      </c>
      <c r="O151">
        <v>10055</v>
      </c>
    </row>
    <row r="152" spans="1:15" x14ac:dyDescent="0.35">
      <c r="A152" t="s">
        <v>15</v>
      </c>
      <c r="B152" t="s">
        <v>16</v>
      </c>
      <c r="C152" t="s">
        <v>36</v>
      </c>
      <c r="D152" t="s">
        <v>694</v>
      </c>
      <c r="E152" t="s">
        <v>695</v>
      </c>
      <c r="F152" t="s">
        <v>39</v>
      </c>
      <c r="G152" t="s">
        <v>580</v>
      </c>
      <c r="H152" t="s">
        <v>41</v>
      </c>
      <c r="I152" t="s">
        <v>23</v>
      </c>
      <c r="J152" s="1">
        <v>26030</v>
      </c>
      <c r="K152" t="s">
        <v>696</v>
      </c>
      <c r="L152" t="s">
        <v>697</v>
      </c>
      <c r="M152" t="s">
        <v>698</v>
      </c>
      <c r="O152">
        <v>114171</v>
      </c>
    </row>
    <row r="153" spans="1:15" x14ac:dyDescent="0.35">
      <c r="A153" t="s">
        <v>15</v>
      </c>
      <c r="B153" t="s">
        <v>16</v>
      </c>
      <c r="C153" t="s">
        <v>61</v>
      </c>
      <c r="D153" t="s">
        <v>699</v>
      </c>
      <c r="E153" t="s">
        <v>318</v>
      </c>
      <c r="F153" t="s">
        <v>47</v>
      </c>
      <c r="G153" t="s">
        <v>594</v>
      </c>
      <c r="H153" t="s">
        <v>57</v>
      </c>
      <c r="I153" t="s">
        <v>23</v>
      </c>
      <c r="J153" s="1">
        <v>68160</v>
      </c>
      <c r="K153" t="s">
        <v>700</v>
      </c>
      <c r="L153" t="s">
        <v>701</v>
      </c>
      <c r="M153" t="s">
        <v>702</v>
      </c>
      <c r="N153">
        <v>8</v>
      </c>
      <c r="O153">
        <v>35853.5</v>
      </c>
    </row>
    <row r="154" spans="1:15" x14ac:dyDescent="0.35">
      <c r="A154" t="s">
        <v>15</v>
      </c>
      <c r="B154" t="s">
        <v>16</v>
      </c>
      <c r="C154" t="s">
        <v>61</v>
      </c>
      <c r="D154" t="s">
        <v>703</v>
      </c>
      <c r="E154" t="s">
        <v>128</v>
      </c>
      <c r="F154" t="s">
        <v>399</v>
      </c>
      <c r="G154" t="s">
        <v>169</v>
      </c>
      <c r="H154" t="s">
        <v>41</v>
      </c>
      <c r="I154" t="s">
        <v>23</v>
      </c>
      <c r="J154" s="1">
        <v>261060</v>
      </c>
      <c r="K154" t="s">
        <v>704</v>
      </c>
      <c r="L154" t="s">
        <v>705</v>
      </c>
      <c r="M154" t="s">
        <v>706</v>
      </c>
      <c r="N154">
        <v>5</v>
      </c>
      <c r="O154">
        <v>9583</v>
      </c>
    </row>
    <row r="155" spans="1:15" x14ac:dyDescent="0.35">
      <c r="A155" t="s">
        <v>15</v>
      </c>
      <c r="B155" t="s">
        <v>16</v>
      </c>
      <c r="C155" t="s">
        <v>36</v>
      </c>
      <c r="D155" t="s">
        <v>384</v>
      </c>
      <c r="E155" t="s">
        <v>398</v>
      </c>
      <c r="F155" t="s">
        <v>39</v>
      </c>
      <c r="G155" t="s">
        <v>386</v>
      </c>
      <c r="H155" t="s">
        <v>41</v>
      </c>
      <c r="I155" t="s">
        <v>23</v>
      </c>
      <c r="J155" s="1">
        <v>108650</v>
      </c>
      <c r="K155" t="s">
        <v>707</v>
      </c>
      <c r="L155" t="s">
        <v>708</v>
      </c>
      <c r="M155" t="s">
        <v>81</v>
      </c>
      <c r="O155">
        <v>68500</v>
      </c>
    </row>
    <row r="156" spans="1:15" x14ac:dyDescent="0.35">
      <c r="A156" t="s">
        <v>15</v>
      </c>
      <c r="B156" t="s">
        <v>16</v>
      </c>
      <c r="C156" t="s">
        <v>82</v>
      </c>
      <c r="D156" t="s">
        <v>709</v>
      </c>
      <c r="E156" t="s">
        <v>128</v>
      </c>
      <c r="F156" t="s">
        <v>64</v>
      </c>
      <c r="G156" t="s">
        <v>169</v>
      </c>
      <c r="H156" t="s">
        <v>41</v>
      </c>
      <c r="I156" t="s">
        <v>58</v>
      </c>
      <c r="J156" s="1">
        <v>15440</v>
      </c>
      <c r="K156" t="s">
        <v>710</v>
      </c>
      <c r="L156" t="s">
        <v>711</v>
      </c>
      <c r="M156" t="s">
        <v>712</v>
      </c>
      <c r="N156">
        <v>3</v>
      </c>
      <c r="O156">
        <v>36104</v>
      </c>
    </row>
    <row r="157" spans="1:15" x14ac:dyDescent="0.35">
      <c r="A157" t="s">
        <v>15</v>
      </c>
      <c r="B157" t="s">
        <v>16</v>
      </c>
      <c r="C157" t="s">
        <v>17</v>
      </c>
      <c r="D157" t="s">
        <v>713</v>
      </c>
      <c r="E157" t="s">
        <v>714</v>
      </c>
      <c r="F157" t="s">
        <v>399</v>
      </c>
      <c r="G157" t="s">
        <v>715</v>
      </c>
      <c r="H157" t="s">
        <v>41</v>
      </c>
      <c r="I157" t="s">
        <v>58</v>
      </c>
      <c r="J157">
        <v>31</v>
      </c>
      <c r="K157" t="s">
        <v>58</v>
      </c>
      <c r="L157" t="s">
        <v>716</v>
      </c>
      <c r="M157" t="s">
        <v>717</v>
      </c>
      <c r="N157">
        <v>5</v>
      </c>
      <c r="O157">
        <v>55906</v>
      </c>
    </row>
    <row r="158" spans="1:15" x14ac:dyDescent="0.35">
      <c r="A158" t="s">
        <v>15</v>
      </c>
      <c r="B158" t="s">
        <v>99</v>
      </c>
      <c r="C158" t="s">
        <v>17</v>
      </c>
      <c r="D158" t="s">
        <v>718</v>
      </c>
      <c r="E158" t="s">
        <v>719</v>
      </c>
      <c r="F158" t="s">
        <v>20</v>
      </c>
      <c r="G158" t="s">
        <v>720</v>
      </c>
      <c r="H158" t="s">
        <v>115</v>
      </c>
      <c r="I158" t="s">
        <v>23</v>
      </c>
      <c r="J158">
        <v>613</v>
      </c>
      <c r="K158" t="s">
        <v>23</v>
      </c>
      <c r="L158" t="s">
        <v>721</v>
      </c>
      <c r="M158" t="s">
        <v>200</v>
      </c>
      <c r="N158">
        <v>17</v>
      </c>
      <c r="O158">
        <v>95115</v>
      </c>
    </row>
    <row r="159" spans="1:15" x14ac:dyDescent="0.35">
      <c r="A159" t="s">
        <v>15</v>
      </c>
      <c r="B159" t="s">
        <v>99</v>
      </c>
      <c r="C159" t="s">
        <v>36</v>
      </c>
      <c r="D159" t="s">
        <v>429</v>
      </c>
      <c r="E159" t="s">
        <v>430</v>
      </c>
      <c r="F159" t="s">
        <v>47</v>
      </c>
      <c r="G159" t="s">
        <v>432</v>
      </c>
      <c r="H159" t="s">
        <v>41</v>
      </c>
      <c r="I159" t="s">
        <v>23</v>
      </c>
      <c r="J159" s="1">
        <v>24820</v>
      </c>
      <c r="K159" t="s">
        <v>722</v>
      </c>
      <c r="L159" t="s">
        <v>723</v>
      </c>
      <c r="M159" t="s">
        <v>189</v>
      </c>
      <c r="N159">
        <v>8</v>
      </c>
      <c r="O159">
        <v>82373</v>
      </c>
    </row>
    <row r="160" spans="1:15" x14ac:dyDescent="0.35">
      <c r="A160" t="s">
        <v>15</v>
      </c>
      <c r="B160" t="s">
        <v>16</v>
      </c>
      <c r="C160" t="s">
        <v>82</v>
      </c>
      <c r="D160" t="s">
        <v>724</v>
      </c>
      <c r="E160" t="s">
        <v>228</v>
      </c>
      <c r="F160" t="s">
        <v>30</v>
      </c>
      <c r="G160" t="s">
        <v>725</v>
      </c>
      <c r="H160" t="s">
        <v>115</v>
      </c>
      <c r="I160" t="s">
        <v>23</v>
      </c>
      <c r="J160" s="1">
        <v>1020</v>
      </c>
      <c r="K160" t="s">
        <v>23</v>
      </c>
      <c r="L160" t="s">
        <v>726</v>
      </c>
      <c r="M160" t="s">
        <v>727</v>
      </c>
      <c r="N160">
        <v>15</v>
      </c>
      <c r="O160">
        <v>112114.5</v>
      </c>
    </row>
    <row r="161" spans="1:15" x14ac:dyDescent="0.35">
      <c r="A161" t="s">
        <v>15</v>
      </c>
      <c r="B161" t="s">
        <v>16</v>
      </c>
      <c r="C161" t="s">
        <v>61</v>
      </c>
      <c r="D161" t="s">
        <v>728</v>
      </c>
      <c r="E161" t="s">
        <v>63</v>
      </c>
      <c r="F161" t="s">
        <v>513</v>
      </c>
      <c r="G161" t="s">
        <v>729</v>
      </c>
      <c r="H161" t="s">
        <v>41</v>
      </c>
      <c r="I161" t="s">
        <v>23</v>
      </c>
      <c r="J161" s="1">
        <v>11060</v>
      </c>
      <c r="K161" t="s">
        <v>23</v>
      </c>
      <c r="L161" t="s">
        <v>730</v>
      </c>
      <c r="M161" t="s">
        <v>731</v>
      </c>
      <c r="N161">
        <v>22</v>
      </c>
      <c r="O161">
        <v>116458</v>
      </c>
    </row>
    <row r="162" spans="1:15" x14ac:dyDescent="0.35">
      <c r="A162" t="s">
        <v>15</v>
      </c>
      <c r="B162" t="s">
        <v>16</v>
      </c>
      <c r="C162" t="s">
        <v>36</v>
      </c>
      <c r="D162" t="s">
        <v>119</v>
      </c>
      <c r="E162" t="s">
        <v>732</v>
      </c>
      <c r="F162" t="s">
        <v>39</v>
      </c>
      <c r="G162" t="s">
        <v>121</v>
      </c>
      <c r="H162" t="s">
        <v>41</v>
      </c>
      <c r="I162" t="s">
        <v>58</v>
      </c>
      <c r="J162">
        <v>45</v>
      </c>
      <c r="K162" t="s">
        <v>58</v>
      </c>
      <c r="L162" t="s">
        <v>733</v>
      </c>
      <c r="M162" t="s">
        <v>118</v>
      </c>
      <c r="O162">
        <v>194540</v>
      </c>
    </row>
    <row r="163" spans="1:15" x14ac:dyDescent="0.35">
      <c r="A163" t="s">
        <v>15</v>
      </c>
      <c r="B163" t="s">
        <v>16</v>
      </c>
      <c r="C163" t="s">
        <v>61</v>
      </c>
      <c r="D163" t="s">
        <v>734</v>
      </c>
      <c r="E163" t="s">
        <v>735</v>
      </c>
      <c r="F163" t="s">
        <v>39</v>
      </c>
      <c r="G163" t="s">
        <v>65</v>
      </c>
      <c r="H163" t="s">
        <v>57</v>
      </c>
      <c r="I163" t="s">
        <v>23</v>
      </c>
      <c r="J163" s="1">
        <v>88990</v>
      </c>
      <c r="K163" t="s">
        <v>736</v>
      </c>
      <c r="L163" t="s">
        <v>737</v>
      </c>
      <c r="M163" t="s">
        <v>200</v>
      </c>
      <c r="O163">
        <v>27403</v>
      </c>
    </row>
    <row r="164" spans="1:15" x14ac:dyDescent="0.35">
      <c r="A164" t="s">
        <v>15</v>
      </c>
      <c r="B164" t="s">
        <v>99</v>
      </c>
      <c r="C164" t="s">
        <v>82</v>
      </c>
      <c r="D164" t="s">
        <v>738</v>
      </c>
      <c r="E164" t="s">
        <v>739</v>
      </c>
      <c r="F164" t="s">
        <v>64</v>
      </c>
      <c r="G164" t="s">
        <v>740</v>
      </c>
      <c r="H164" t="s">
        <v>41</v>
      </c>
      <c r="I164" t="s">
        <v>58</v>
      </c>
      <c r="J164">
        <v>90</v>
      </c>
      <c r="K164" t="s">
        <v>58</v>
      </c>
      <c r="L164" t="s">
        <v>741</v>
      </c>
      <c r="M164" t="s">
        <v>118</v>
      </c>
      <c r="N164">
        <v>3</v>
      </c>
      <c r="O164">
        <v>152987</v>
      </c>
    </row>
    <row r="165" spans="1:15" x14ac:dyDescent="0.35">
      <c r="A165" t="s">
        <v>15</v>
      </c>
      <c r="B165" t="s">
        <v>16</v>
      </c>
      <c r="C165" t="s">
        <v>36</v>
      </c>
      <c r="D165" t="s">
        <v>742</v>
      </c>
      <c r="E165" t="s">
        <v>743</v>
      </c>
      <c r="F165" t="s">
        <v>30</v>
      </c>
      <c r="G165" t="s">
        <v>744</v>
      </c>
      <c r="H165" t="s">
        <v>41</v>
      </c>
      <c r="I165" t="s">
        <v>23</v>
      </c>
      <c r="J165" s="1">
        <v>182338</v>
      </c>
      <c r="K165" t="s">
        <v>745</v>
      </c>
      <c r="L165" t="s">
        <v>746</v>
      </c>
      <c r="M165" t="s">
        <v>659</v>
      </c>
      <c r="N165">
        <v>15</v>
      </c>
      <c r="O165">
        <v>224776</v>
      </c>
    </row>
    <row r="166" spans="1:15" x14ac:dyDescent="0.35">
      <c r="A166" t="s">
        <v>15</v>
      </c>
      <c r="B166" t="s">
        <v>16</v>
      </c>
      <c r="C166" t="s">
        <v>61</v>
      </c>
      <c r="D166" t="s">
        <v>747</v>
      </c>
      <c r="E166" t="s">
        <v>128</v>
      </c>
      <c r="F166" t="s">
        <v>113</v>
      </c>
      <c r="G166" t="s">
        <v>65</v>
      </c>
      <c r="H166" t="s">
        <v>41</v>
      </c>
      <c r="I166" t="s">
        <v>58</v>
      </c>
      <c r="J166" s="1">
        <v>3540</v>
      </c>
      <c r="K166" t="s">
        <v>58</v>
      </c>
      <c r="L166" t="s">
        <v>748</v>
      </c>
      <c r="M166" t="s">
        <v>749</v>
      </c>
      <c r="N166">
        <v>19</v>
      </c>
      <c r="O166">
        <v>19234</v>
      </c>
    </row>
    <row r="167" spans="1:15" x14ac:dyDescent="0.35">
      <c r="A167" t="s">
        <v>15</v>
      </c>
      <c r="B167" t="s">
        <v>27</v>
      </c>
      <c r="C167" t="s">
        <v>36</v>
      </c>
      <c r="D167" t="s">
        <v>750</v>
      </c>
      <c r="E167" t="s">
        <v>751</v>
      </c>
      <c r="F167" t="s">
        <v>341</v>
      </c>
      <c r="G167" t="s">
        <v>752</v>
      </c>
      <c r="H167" t="s">
        <v>41</v>
      </c>
      <c r="I167" t="s">
        <v>23</v>
      </c>
      <c r="J167" s="1">
        <v>20070</v>
      </c>
      <c r="K167" t="s">
        <v>23</v>
      </c>
      <c r="L167" t="s">
        <v>753</v>
      </c>
      <c r="M167" t="s">
        <v>754</v>
      </c>
      <c r="N167">
        <v>2</v>
      </c>
      <c r="O167">
        <v>90697</v>
      </c>
    </row>
    <row r="168" spans="1:15" x14ac:dyDescent="0.35">
      <c r="A168" t="s">
        <v>75</v>
      </c>
      <c r="B168" t="s">
        <v>52</v>
      </c>
      <c r="C168" t="s">
        <v>36</v>
      </c>
      <c r="D168" t="s">
        <v>755</v>
      </c>
      <c r="E168" t="s">
        <v>544</v>
      </c>
      <c r="F168" t="s">
        <v>139</v>
      </c>
      <c r="G168" t="s">
        <v>756</v>
      </c>
      <c r="H168" t="s">
        <v>41</v>
      </c>
      <c r="I168" t="s">
        <v>58</v>
      </c>
      <c r="J168">
        <v>31</v>
      </c>
      <c r="K168" t="s">
        <v>58</v>
      </c>
      <c r="L168" t="s">
        <v>546</v>
      </c>
      <c r="M168" t="s">
        <v>60</v>
      </c>
      <c r="N168">
        <v>13</v>
      </c>
      <c r="O168">
        <v>248888.5</v>
      </c>
    </row>
    <row r="169" spans="1:15" x14ac:dyDescent="0.35">
      <c r="A169" t="s">
        <v>15</v>
      </c>
      <c r="B169" t="s">
        <v>16</v>
      </c>
      <c r="C169" t="s">
        <v>36</v>
      </c>
      <c r="D169" t="s">
        <v>757</v>
      </c>
      <c r="E169" t="s">
        <v>228</v>
      </c>
      <c r="F169" t="s">
        <v>78</v>
      </c>
      <c r="G169" t="s">
        <v>758</v>
      </c>
      <c r="H169" t="s">
        <v>41</v>
      </c>
      <c r="I169" t="s">
        <v>23</v>
      </c>
      <c r="J169" s="1">
        <v>212610</v>
      </c>
      <c r="K169" t="s">
        <v>759</v>
      </c>
      <c r="L169" t="s">
        <v>760</v>
      </c>
      <c r="M169" t="s">
        <v>761</v>
      </c>
      <c r="N169">
        <v>9</v>
      </c>
      <c r="O169">
        <v>151895</v>
      </c>
    </row>
    <row r="170" spans="1:15" x14ac:dyDescent="0.35">
      <c r="A170" t="s">
        <v>15</v>
      </c>
      <c r="B170" t="s">
        <v>16</v>
      </c>
      <c r="C170" t="s">
        <v>36</v>
      </c>
      <c r="D170" t="s">
        <v>762</v>
      </c>
      <c r="E170" t="s">
        <v>763</v>
      </c>
      <c r="F170" t="s">
        <v>513</v>
      </c>
      <c r="G170" t="s">
        <v>764</v>
      </c>
      <c r="H170" t="s">
        <v>115</v>
      </c>
      <c r="I170" t="s">
        <v>23</v>
      </c>
      <c r="J170" s="1">
        <v>37990</v>
      </c>
      <c r="K170" t="s">
        <v>23</v>
      </c>
      <c r="L170" t="s">
        <v>765</v>
      </c>
      <c r="M170" t="s">
        <v>766</v>
      </c>
      <c r="N170">
        <v>22</v>
      </c>
      <c r="O170">
        <v>52987</v>
      </c>
    </row>
    <row r="171" spans="1:15" x14ac:dyDescent="0.35">
      <c r="A171" t="s">
        <v>15</v>
      </c>
      <c r="B171" t="s">
        <v>27</v>
      </c>
      <c r="C171" t="s">
        <v>61</v>
      </c>
      <c r="D171" t="s">
        <v>767</v>
      </c>
      <c r="E171" t="s">
        <v>768</v>
      </c>
      <c r="F171" t="s">
        <v>30</v>
      </c>
      <c r="G171" t="s">
        <v>769</v>
      </c>
      <c r="H171" t="s">
        <v>41</v>
      </c>
      <c r="I171" t="s">
        <v>23</v>
      </c>
      <c r="J171" s="1">
        <v>65120</v>
      </c>
      <c r="K171" t="s">
        <v>23</v>
      </c>
      <c r="L171" t="s">
        <v>770</v>
      </c>
      <c r="M171" t="s">
        <v>771</v>
      </c>
      <c r="N171">
        <v>15</v>
      </c>
      <c r="O171">
        <v>115086</v>
      </c>
    </row>
    <row r="172" spans="1:15" x14ac:dyDescent="0.35">
      <c r="A172" t="s">
        <v>15</v>
      </c>
      <c r="B172" t="s">
        <v>16</v>
      </c>
      <c r="C172" t="s">
        <v>82</v>
      </c>
      <c r="D172" t="s">
        <v>772</v>
      </c>
      <c r="E172" t="s">
        <v>228</v>
      </c>
      <c r="F172" t="s">
        <v>39</v>
      </c>
      <c r="G172" t="s">
        <v>773</v>
      </c>
      <c r="H172" t="s">
        <v>41</v>
      </c>
      <c r="I172" t="s">
        <v>23</v>
      </c>
      <c r="J172" s="1">
        <v>55070</v>
      </c>
      <c r="K172" t="s">
        <v>774</v>
      </c>
      <c r="L172" t="s">
        <v>775</v>
      </c>
      <c r="M172" t="s">
        <v>81</v>
      </c>
      <c r="O172">
        <v>100467</v>
      </c>
    </row>
    <row r="173" spans="1:15" x14ac:dyDescent="0.35">
      <c r="A173" t="s">
        <v>75</v>
      </c>
      <c r="B173" t="s">
        <v>16</v>
      </c>
      <c r="C173" t="s">
        <v>17</v>
      </c>
      <c r="D173" t="s">
        <v>45</v>
      </c>
      <c r="E173" t="s">
        <v>776</v>
      </c>
      <c r="F173" t="s">
        <v>30</v>
      </c>
      <c r="G173" t="s">
        <v>48</v>
      </c>
      <c r="H173" t="s">
        <v>41</v>
      </c>
      <c r="I173" t="s">
        <v>23</v>
      </c>
      <c r="J173" s="1">
        <v>34690</v>
      </c>
      <c r="K173" t="s">
        <v>777</v>
      </c>
      <c r="L173" t="s">
        <v>778</v>
      </c>
      <c r="M173" t="s">
        <v>779</v>
      </c>
      <c r="N173">
        <v>15</v>
      </c>
      <c r="O173">
        <v>170793.5</v>
      </c>
    </row>
    <row r="174" spans="1:15" x14ac:dyDescent="0.35">
      <c r="A174" t="s">
        <v>15</v>
      </c>
      <c r="B174" t="s">
        <v>16</v>
      </c>
      <c r="C174" t="s">
        <v>36</v>
      </c>
      <c r="D174" t="s">
        <v>780</v>
      </c>
      <c r="E174" t="s">
        <v>781</v>
      </c>
      <c r="F174" t="s">
        <v>47</v>
      </c>
      <c r="G174" t="s">
        <v>514</v>
      </c>
      <c r="H174" t="s">
        <v>41</v>
      </c>
      <c r="I174" t="s">
        <v>58</v>
      </c>
      <c r="J174" s="1">
        <v>2540</v>
      </c>
      <c r="K174" t="s">
        <v>782</v>
      </c>
      <c r="L174" t="s">
        <v>783</v>
      </c>
      <c r="M174" t="s">
        <v>118</v>
      </c>
      <c r="N174">
        <v>8</v>
      </c>
      <c r="O174">
        <v>143853</v>
      </c>
    </row>
    <row r="175" spans="1:15" x14ac:dyDescent="0.35">
      <c r="A175" t="s">
        <v>75</v>
      </c>
      <c r="B175" t="s">
        <v>16</v>
      </c>
      <c r="C175" t="s">
        <v>61</v>
      </c>
      <c r="D175" t="s">
        <v>784</v>
      </c>
      <c r="E175" t="s">
        <v>61</v>
      </c>
      <c r="F175" t="s">
        <v>785</v>
      </c>
      <c r="G175" t="s">
        <v>786</v>
      </c>
      <c r="H175" t="s">
        <v>41</v>
      </c>
      <c r="I175" t="s">
        <v>58</v>
      </c>
      <c r="J175">
        <v>910</v>
      </c>
      <c r="K175" t="s">
        <v>787</v>
      </c>
      <c r="L175" t="s">
        <v>788</v>
      </c>
      <c r="M175" t="s">
        <v>60</v>
      </c>
      <c r="N175">
        <v>2</v>
      </c>
      <c r="O175">
        <v>44207</v>
      </c>
    </row>
    <row r="176" spans="1:15" x14ac:dyDescent="0.35">
      <c r="A176" t="s">
        <v>15</v>
      </c>
      <c r="B176" t="s">
        <v>16</v>
      </c>
      <c r="C176" t="s">
        <v>82</v>
      </c>
      <c r="D176" t="s">
        <v>789</v>
      </c>
      <c r="E176" t="s">
        <v>790</v>
      </c>
      <c r="F176" t="s">
        <v>441</v>
      </c>
      <c r="G176" t="s">
        <v>791</v>
      </c>
      <c r="H176" t="s">
        <v>41</v>
      </c>
      <c r="I176" t="s">
        <v>23</v>
      </c>
      <c r="J176" s="1">
        <v>14460</v>
      </c>
      <c r="K176" t="s">
        <v>792</v>
      </c>
      <c r="L176" t="s">
        <v>793</v>
      </c>
      <c r="M176" t="s">
        <v>794</v>
      </c>
      <c r="N176">
        <v>10</v>
      </c>
      <c r="O176">
        <v>142479.5</v>
      </c>
    </row>
    <row r="177" spans="1:15" x14ac:dyDescent="0.35">
      <c r="A177" t="s">
        <v>15</v>
      </c>
      <c r="B177" t="s">
        <v>27</v>
      </c>
      <c r="C177" t="s">
        <v>36</v>
      </c>
      <c r="D177" t="s">
        <v>795</v>
      </c>
      <c r="E177" t="s">
        <v>796</v>
      </c>
      <c r="F177" t="s">
        <v>85</v>
      </c>
      <c r="G177" t="s">
        <v>797</v>
      </c>
      <c r="H177" t="s">
        <v>41</v>
      </c>
      <c r="I177" t="s">
        <v>58</v>
      </c>
      <c r="J177" s="1">
        <v>14040</v>
      </c>
      <c r="K177" t="s">
        <v>58</v>
      </c>
      <c r="L177" t="s">
        <v>798</v>
      </c>
      <c r="M177" t="s">
        <v>81</v>
      </c>
      <c r="N177">
        <v>6</v>
      </c>
      <c r="O177">
        <v>195911</v>
      </c>
    </row>
    <row r="178" spans="1:15" x14ac:dyDescent="0.35">
      <c r="A178" t="s">
        <v>15</v>
      </c>
      <c r="B178" t="s">
        <v>99</v>
      </c>
      <c r="C178" t="s">
        <v>82</v>
      </c>
      <c r="D178" t="s">
        <v>799</v>
      </c>
      <c r="E178" t="s">
        <v>800</v>
      </c>
      <c r="F178" t="s">
        <v>203</v>
      </c>
      <c r="G178" t="s">
        <v>801</v>
      </c>
      <c r="H178" t="s">
        <v>57</v>
      </c>
      <c r="I178" t="s">
        <v>23</v>
      </c>
      <c r="J178" s="1">
        <v>7290</v>
      </c>
      <c r="K178" t="s">
        <v>23</v>
      </c>
      <c r="L178" t="s">
        <v>802</v>
      </c>
      <c r="M178" t="s">
        <v>803</v>
      </c>
      <c r="N178">
        <v>25</v>
      </c>
      <c r="O178">
        <v>177143</v>
      </c>
    </row>
    <row r="179" spans="1:15" x14ac:dyDescent="0.35">
      <c r="A179" t="s">
        <v>15</v>
      </c>
      <c r="B179" t="s">
        <v>16</v>
      </c>
      <c r="C179" t="s">
        <v>82</v>
      </c>
      <c r="D179" t="s">
        <v>804</v>
      </c>
      <c r="E179" t="s">
        <v>84</v>
      </c>
      <c r="F179" t="s">
        <v>39</v>
      </c>
      <c r="G179" t="s">
        <v>229</v>
      </c>
      <c r="H179" t="s">
        <v>41</v>
      </c>
      <c r="I179" t="s">
        <v>58</v>
      </c>
      <c r="J179">
        <v>960</v>
      </c>
      <c r="K179" t="s">
        <v>805</v>
      </c>
      <c r="L179" t="s">
        <v>806</v>
      </c>
      <c r="M179" t="s">
        <v>60</v>
      </c>
      <c r="O179">
        <v>195229.5</v>
      </c>
    </row>
    <row r="180" spans="1:15" x14ac:dyDescent="0.35">
      <c r="A180" t="s">
        <v>15</v>
      </c>
      <c r="B180" t="s">
        <v>16</v>
      </c>
      <c r="C180" t="s">
        <v>17</v>
      </c>
      <c r="D180" t="s">
        <v>807</v>
      </c>
      <c r="E180" t="s">
        <v>776</v>
      </c>
      <c r="F180" t="s">
        <v>244</v>
      </c>
      <c r="G180" t="s">
        <v>65</v>
      </c>
      <c r="H180" t="s">
        <v>41</v>
      </c>
      <c r="I180" t="s">
        <v>58</v>
      </c>
      <c r="J180">
        <v>750</v>
      </c>
      <c r="K180" t="s">
        <v>58</v>
      </c>
      <c r="L180" t="s">
        <v>808</v>
      </c>
      <c r="M180" t="s">
        <v>118</v>
      </c>
      <c r="N180">
        <v>2</v>
      </c>
      <c r="O180">
        <v>153602.5</v>
      </c>
    </row>
    <row r="181" spans="1:15" x14ac:dyDescent="0.35">
      <c r="A181" t="s">
        <v>15</v>
      </c>
      <c r="B181" t="s">
        <v>52</v>
      </c>
      <c r="C181" t="s">
        <v>36</v>
      </c>
      <c r="D181" t="s">
        <v>809</v>
      </c>
      <c r="E181" t="s">
        <v>54</v>
      </c>
      <c r="F181" t="s">
        <v>139</v>
      </c>
      <c r="G181" t="s">
        <v>90</v>
      </c>
      <c r="H181" t="s">
        <v>41</v>
      </c>
      <c r="I181" t="s">
        <v>58</v>
      </c>
      <c r="J181">
        <v>600</v>
      </c>
      <c r="K181" t="s">
        <v>810</v>
      </c>
      <c r="L181" t="s">
        <v>811</v>
      </c>
      <c r="M181" t="s">
        <v>60</v>
      </c>
      <c r="N181">
        <v>13</v>
      </c>
      <c r="O181">
        <v>135859.5</v>
      </c>
    </row>
    <row r="182" spans="1:15" x14ac:dyDescent="0.35">
      <c r="A182" t="s">
        <v>15</v>
      </c>
      <c r="B182" t="s">
        <v>16</v>
      </c>
      <c r="C182" t="s">
        <v>61</v>
      </c>
      <c r="D182" t="s">
        <v>812</v>
      </c>
      <c r="E182" t="s">
        <v>813</v>
      </c>
      <c r="F182" t="s">
        <v>89</v>
      </c>
      <c r="G182" t="s">
        <v>814</v>
      </c>
      <c r="H182" t="s">
        <v>57</v>
      </c>
      <c r="I182" t="s">
        <v>23</v>
      </c>
      <c r="J182" s="1">
        <v>60010</v>
      </c>
      <c r="K182" t="s">
        <v>815</v>
      </c>
      <c r="L182" t="s">
        <v>816</v>
      </c>
      <c r="M182" t="s">
        <v>200</v>
      </c>
      <c r="O182">
        <v>59677</v>
      </c>
    </row>
    <row r="183" spans="1:15" x14ac:dyDescent="0.35">
      <c r="A183" t="s">
        <v>15</v>
      </c>
      <c r="B183" t="s">
        <v>16</v>
      </c>
      <c r="C183" t="s">
        <v>36</v>
      </c>
      <c r="D183" t="s">
        <v>817</v>
      </c>
      <c r="E183" t="s">
        <v>818</v>
      </c>
      <c r="F183" t="s">
        <v>47</v>
      </c>
      <c r="G183" t="s">
        <v>819</v>
      </c>
      <c r="H183" t="s">
        <v>115</v>
      </c>
      <c r="I183" t="s">
        <v>23</v>
      </c>
      <c r="J183" s="1">
        <v>48050</v>
      </c>
      <c r="K183" t="s">
        <v>820</v>
      </c>
      <c r="L183" t="s">
        <v>821</v>
      </c>
      <c r="M183" t="s">
        <v>822</v>
      </c>
      <c r="N183">
        <v>8</v>
      </c>
      <c r="O183">
        <v>121480</v>
      </c>
    </row>
    <row r="184" spans="1:15" x14ac:dyDescent="0.35">
      <c r="A184" t="s">
        <v>15</v>
      </c>
      <c r="B184" t="s">
        <v>99</v>
      </c>
      <c r="C184" t="s">
        <v>36</v>
      </c>
      <c r="D184" t="s">
        <v>823</v>
      </c>
      <c r="E184" t="s">
        <v>824</v>
      </c>
      <c r="F184" t="s">
        <v>64</v>
      </c>
      <c r="G184" t="s">
        <v>825</v>
      </c>
      <c r="H184" t="s">
        <v>41</v>
      </c>
      <c r="I184" t="s">
        <v>58</v>
      </c>
      <c r="J184" s="1">
        <v>12090</v>
      </c>
      <c r="K184" t="s">
        <v>58</v>
      </c>
      <c r="L184" t="s">
        <v>826</v>
      </c>
      <c r="M184" t="s">
        <v>827</v>
      </c>
      <c r="N184">
        <v>3</v>
      </c>
      <c r="O184">
        <v>13173</v>
      </c>
    </row>
    <row r="185" spans="1:15" x14ac:dyDescent="0.35">
      <c r="A185" t="s">
        <v>15</v>
      </c>
      <c r="B185" t="s">
        <v>16</v>
      </c>
      <c r="C185" t="s">
        <v>82</v>
      </c>
      <c r="D185" t="s">
        <v>828</v>
      </c>
      <c r="E185" t="s">
        <v>84</v>
      </c>
      <c r="F185" t="s">
        <v>244</v>
      </c>
      <c r="G185" t="s">
        <v>829</v>
      </c>
      <c r="H185" t="s">
        <v>41</v>
      </c>
      <c r="I185" t="s">
        <v>58</v>
      </c>
      <c r="J185">
        <v>351</v>
      </c>
      <c r="K185" t="s">
        <v>58</v>
      </c>
      <c r="L185" t="s">
        <v>830</v>
      </c>
      <c r="M185" t="s">
        <v>60</v>
      </c>
      <c r="N185">
        <v>2</v>
      </c>
      <c r="O185">
        <v>164400</v>
      </c>
    </row>
    <row r="186" spans="1:15" x14ac:dyDescent="0.35">
      <c r="A186" t="s">
        <v>15</v>
      </c>
      <c r="B186" t="s">
        <v>16</v>
      </c>
      <c r="C186" t="s">
        <v>36</v>
      </c>
      <c r="D186" t="s">
        <v>831</v>
      </c>
      <c r="E186" t="s">
        <v>268</v>
      </c>
      <c r="F186" t="s">
        <v>39</v>
      </c>
      <c r="G186" t="s">
        <v>90</v>
      </c>
      <c r="H186" t="s">
        <v>41</v>
      </c>
      <c r="I186" t="s">
        <v>23</v>
      </c>
      <c r="J186" s="1">
        <v>65870</v>
      </c>
      <c r="K186" t="s">
        <v>832</v>
      </c>
      <c r="L186" t="s">
        <v>833</v>
      </c>
      <c r="M186" t="s">
        <v>51</v>
      </c>
      <c r="O186">
        <v>170615</v>
      </c>
    </row>
    <row r="187" spans="1:15" x14ac:dyDescent="0.35">
      <c r="A187" t="s">
        <v>15</v>
      </c>
      <c r="B187" t="s">
        <v>16</v>
      </c>
      <c r="C187" t="s">
        <v>36</v>
      </c>
      <c r="D187" t="s">
        <v>485</v>
      </c>
      <c r="E187" t="s">
        <v>834</v>
      </c>
      <c r="F187" t="s">
        <v>85</v>
      </c>
      <c r="G187" t="s">
        <v>65</v>
      </c>
      <c r="H187" t="s">
        <v>22</v>
      </c>
      <c r="I187" t="s">
        <v>23</v>
      </c>
      <c r="J187" s="1">
        <v>130020</v>
      </c>
      <c r="K187" t="s">
        <v>486</v>
      </c>
      <c r="L187" t="s">
        <v>835</v>
      </c>
      <c r="M187" t="s">
        <v>81</v>
      </c>
      <c r="N187">
        <v>6</v>
      </c>
      <c r="O187">
        <v>137000</v>
      </c>
    </row>
    <row r="188" spans="1:15" x14ac:dyDescent="0.35">
      <c r="A188" t="s">
        <v>15</v>
      </c>
      <c r="B188" t="s">
        <v>16</v>
      </c>
      <c r="C188" t="s">
        <v>17</v>
      </c>
      <c r="D188" t="s">
        <v>836</v>
      </c>
      <c r="E188" t="s">
        <v>837</v>
      </c>
      <c r="F188" t="s">
        <v>47</v>
      </c>
      <c r="G188" t="s">
        <v>838</v>
      </c>
      <c r="H188" t="s">
        <v>41</v>
      </c>
      <c r="I188" t="s">
        <v>23</v>
      </c>
      <c r="J188" s="1">
        <v>132060</v>
      </c>
      <c r="K188" t="s">
        <v>839</v>
      </c>
      <c r="L188" t="s">
        <v>840</v>
      </c>
      <c r="M188" t="s">
        <v>841</v>
      </c>
      <c r="N188">
        <v>8</v>
      </c>
      <c r="O188">
        <v>92254</v>
      </c>
    </row>
    <row r="189" spans="1:15" x14ac:dyDescent="0.35">
      <c r="A189" t="s">
        <v>15</v>
      </c>
      <c r="B189" t="s">
        <v>16</v>
      </c>
      <c r="C189" t="s">
        <v>61</v>
      </c>
      <c r="D189" t="s">
        <v>842</v>
      </c>
      <c r="E189" t="s">
        <v>843</v>
      </c>
      <c r="F189" t="s">
        <v>244</v>
      </c>
      <c r="G189" t="s">
        <v>786</v>
      </c>
      <c r="H189" t="s">
        <v>57</v>
      </c>
      <c r="I189" t="s">
        <v>58</v>
      </c>
      <c r="J189" s="1">
        <v>78060</v>
      </c>
      <c r="K189" t="s">
        <v>58</v>
      </c>
      <c r="L189" t="s">
        <v>844</v>
      </c>
      <c r="M189" t="s">
        <v>845</v>
      </c>
      <c r="N189">
        <v>2</v>
      </c>
      <c r="O189">
        <v>12924</v>
      </c>
    </row>
    <row r="190" spans="1:15" x14ac:dyDescent="0.35">
      <c r="A190" t="s">
        <v>15</v>
      </c>
      <c r="B190" t="s">
        <v>16</v>
      </c>
      <c r="C190" t="s">
        <v>82</v>
      </c>
      <c r="D190" t="s">
        <v>846</v>
      </c>
      <c r="E190" t="s">
        <v>84</v>
      </c>
      <c r="F190" t="s">
        <v>847</v>
      </c>
      <c r="G190" t="s">
        <v>90</v>
      </c>
      <c r="H190" t="s">
        <v>41</v>
      </c>
      <c r="I190" t="s">
        <v>58</v>
      </c>
      <c r="J190" s="1">
        <v>1890</v>
      </c>
      <c r="K190" t="s">
        <v>848</v>
      </c>
      <c r="L190" t="s">
        <v>849</v>
      </c>
      <c r="M190" t="s">
        <v>60</v>
      </c>
      <c r="N190">
        <v>16</v>
      </c>
      <c r="O190">
        <v>237881.5</v>
      </c>
    </row>
    <row r="191" spans="1:15" x14ac:dyDescent="0.35">
      <c r="A191" t="s">
        <v>15</v>
      </c>
      <c r="B191" t="s">
        <v>16</v>
      </c>
      <c r="C191" t="s">
        <v>36</v>
      </c>
      <c r="D191" t="s">
        <v>111</v>
      </c>
      <c r="E191" t="s">
        <v>850</v>
      </c>
      <c r="F191" t="s">
        <v>89</v>
      </c>
      <c r="G191" t="s">
        <v>114</v>
      </c>
      <c r="H191" t="s">
        <v>115</v>
      </c>
      <c r="I191" t="s">
        <v>23</v>
      </c>
      <c r="J191" s="1">
        <v>128860</v>
      </c>
      <c r="K191" t="s">
        <v>851</v>
      </c>
      <c r="L191" t="s">
        <v>852</v>
      </c>
      <c r="M191" t="s">
        <v>853</v>
      </c>
      <c r="O191">
        <v>114170.5</v>
      </c>
    </row>
    <row r="192" spans="1:15" x14ac:dyDescent="0.35">
      <c r="A192" t="s">
        <v>15</v>
      </c>
      <c r="B192" t="s">
        <v>16</v>
      </c>
      <c r="C192" t="s">
        <v>36</v>
      </c>
      <c r="D192" t="s">
        <v>854</v>
      </c>
      <c r="E192" t="s">
        <v>855</v>
      </c>
      <c r="F192" t="s">
        <v>856</v>
      </c>
      <c r="G192" t="s">
        <v>65</v>
      </c>
      <c r="H192" t="s">
        <v>41</v>
      </c>
      <c r="I192" t="s">
        <v>23</v>
      </c>
      <c r="J192" s="1">
        <v>24320</v>
      </c>
      <c r="K192" t="s">
        <v>23</v>
      </c>
      <c r="L192" t="s">
        <v>857</v>
      </c>
      <c r="M192" t="s">
        <v>858</v>
      </c>
      <c r="N192">
        <v>23</v>
      </c>
      <c r="O192">
        <v>156181.5</v>
      </c>
    </row>
    <row r="193" spans="1:15" x14ac:dyDescent="0.35">
      <c r="A193" t="s">
        <v>15</v>
      </c>
      <c r="B193" t="s">
        <v>27</v>
      </c>
      <c r="C193" t="s">
        <v>36</v>
      </c>
      <c r="D193" t="s">
        <v>582</v>
      </c>
      <c r="E193" t="s">
        <v>502</v>
      </c>
      <c r="F193" t="s">
        <v>30</v>
      </c>
      <c r="G193" t="s">
        <v>584</v>
      </c>
      <c r="H193" t="s">
        <v>57</v>
      </c>
      <c r="I193" t="s">
        <v>58</v>
      </c>
      <c r="J193" s="1">
        <v>33050</v>
      </c>
      <c r="K193" t="s">
        <v>58</v>
      </c>
      <c r="L193" t="s">
        <v>835</v>
      </c>
      <c r="M193" t="s">
        <v>586</v>
      </c>
      <c r="N193">
        <v>15</v>
      </c>
      <c r="O193">
        <v>137000</v>
      </c>
    </row>
    <row r="194" spans="1:15" x14ac:dyDescent="0.35">
      <c r="A194" t="s">
        <v>15</v>
      </c>
      <c r="B194" t="s">
        <v>16</v>
      </c>
      <c r="C194" t="s">
        <v>61</v>
      </c>
      <c r="D194" t="s">
        <v>859</v>
      </c>
      <c r="E194" t="s">
        <v>860</v>
      </c>
      <c r="F194" t="s">
        <v>244</v>
      </c>
      <c r="G194" t="s">
        <v>861</v>
      </c>
      <c r="H194" t="s">
        <v>41</v>
      </c>
      <c r="I194" t="s">
        <v>58</v>
      </c>
      <c r="J194">
        <v>420</v>
      </c>
      <c r="K194" t="s">
        <v>58</v>
      </c>
      <c r="L194" t="s">
        <v>862</v>
      </c>
      <c r="M194" t="s">
        <v>863</v>
      </c>
      <c r="N194">
        <v>2</v>
      </c>
      <c r="O194">
        <v>116283.5</v>
      </c>
    </row>
    <row r="195" spans="1:15" x14ac:dyDescent="0.35">
      <c r="A195" t="s">
        <v>15</v>
      </c>
      <c r="B195" t="s">
        <v>27</v>
      </c>
      <c r="C195" t="s">
        <v>61</v>
      </c>
      <c r="D195" t="s">
        <v>864</v>
      </c>
      <c r="E195" t="s">
        <v>865</v>
      </c>
      <c r="F195" t="s">
        <v>125</v>
      </c>
      <c r="G195" t="s">
        <v>866</v>
      </c>
      <c r="H195" t="s">
        <v>41</v>
      </c>
      <c r="I195" t="s">
        <v>58</v>
      </c>
      <c r="J195">
        <v>180</v>
      </c>
      <c r="K195" t="s">
        <v>58</v>
      </c>
      <c r="L195" t="s">
        <v>867</v>
      </c>
      <c r="M195" t="s">
        <v>868</v>
      </c>
      <c r="N195">
        <v>14</v>
      </c>
      <c r="O195">
        <v>123305</v>
      </c>
    </row>
    <row r="196" spans="1:15" x14ac:dyDescent="0.35">
      <c r="A196" t="s">
        <v>15</v>
      </c>
      <c r="B196" t="s">
        <v>16</v>
      </c>
      <c r="C196" t="s">
        <v>36</v>
      </c>
      <c r="D196" t="s">
        <v>869</v>
      </c>
      <c r="E196" t="s">
        <v>54</v>
      </c>
      <c r="F196" t="s">
        <v>39</v>
      </c>
      <c r="G196" t="s">
        <v>65</v>
      </c>
      <c r="H196" t="s">
        <v>41</v>
      </c>
      <c r="I196" t="s">
        <v>58</v>
      </c>
      <c r="J196">
        <v>420</v>
      </c>
      <c r="K196" t="s">
        <v>58</v>
      </c>
      <c r="L196" t="s">
        <v>870</v>
      </c>
      <c r="M196" t="s">
        <v>60</v>
      </c>
      <c r="O196">
        <v>155723.5</v>
      </c>
    </row>
    <row r="197" spans="1:15" x14ac:dyDescent="0.35">
      <c r="A197" t="s">
        <v>15</v>
      </c>
      <c r="B197" t="s">
        <v>16</v>
      </c>
      <c r="C197" t="s">
        <v>61</v>
      </c>
      <c r="D197" t="s">
        <v>488</v>
      </c>
      <c r="E197" t="s">
        <v>871</v>
      </c>
      <c r="F197" t="s">
        <v>30</v>
      </c>
      <c r="G197" t="s">
        <v>417</v>
      </c>
      <c r="H197" t="s">
        <v>41</v>
      </c>
      <c r="I197" t="s">
        <v>23</v>
      </c>
      <c r="J197" s="1">
        <v>97070</v>
      </c>
      <c r="K197" t="s">
        <v>872</v>
      </c>
      <c r="L197" t="s">
        <v>873</v>
      </c>
      <c r="M197" t="s">
        <v>874</v>
      </c>
      <c r="N197">
        <v>15</v>
      </c>
      <c r="O197">
        <v>156822</v>
      </c>
    </row>
    <row r="198" spans="1:15" x14ac:dyDescent="0.35">
      <c r="A198" t="s">
        <v>75</v>
      </c>
      <c r="B198" t="s">
        <v>16</v>
      </c>
      <c r="C198" t="s">
        <v>61</v>
      </c>
      <c r="D198" t="s">
        <v>875</v>
      </c>
      <c r="E198" t="s">
        <v>876</v>
      </c>
      <c r="F198" t="s">
        <v>196</v>
      </c>
      <c r="G198" t="s">
        <v>797</v>
      </c>
      <c r="H198" t="s">
        <v>115</v>
      </c>
      <c r="I198" t="s">
        <v>58</v>
      </c>
      <c r="J198">
        <v>250</v>
      </c>
      <c r="K198" t="s">
        <v>58</v>
      </c>
      <c r="L198" t="s">
        <v>877</v>
      </c>
      <c r="M198" t="s">
        <v>147</v>
      </c>
      <c r="N198">
        <v>7</v>
      </c>
      <c r="O198">
        <v>201851</v>
      </c>
    </row>
    <row r="199" spans="1:15" x14ac:dyDescent="0.35">
      <c r="A199" t="s">
        <v>15</v>
      </c>
      <c r="B199" t="s">
        <v>16</v>
      </c>
      <c r="C199" t="s">
        <v>17</v>
      </c>
      <c r="D199" t="s">
        <v>392</v>
      </c>
      <c r="E199" t="s">
        <v>878</v>
      </c>
      <c r="F199" t="s">
        <v>394</v>
      </c>
      <c r="G199" t="s">
        <v>90</v>
      </c>
      <c r="H199" t="s">
        <v>57</v>
      </c>
      <c r="I199" t="s">
        <v>58</v>
      </c>
      <c r="J199">
        <v>780</v>
      </c>
      <c r="K199" t="s">
        <v>879</v>
      </c>
      <c r="L199" t="s">
        <v>880</v>
      </c>
      <c r="M199" t="s">
        <v>60</v>
      </c>
      <c r="N199">
        <v>11</v>
      </c>
      <c r="O199">
        <v>182216.5</v>
      </c>
    </row>
    <row r="200" spans="1:15" x14ac:dyDescent="0.35">
      <c r="A200" t="s">
        <v>75</v>
      </c>
      <c r="B200" t="s">
        <v>16</v>
      </c>
      <c r="C200" t="s">
        <v>36</v>
      </c>
      <c r="D200" t="s">
        <v>461</v>
      </c>
      <c r="E200" t="s">
        <v>462</v>
      </c>
      <c r="F200" t="s">
        <v>30</v>
      </c>
      <c r="G200" t="s">
        <v>463</v>
      </c>
      <c r="H200" t="s">
        <v>41</v>
      </c>
      <c r="I200" t="s">
        <v>23</v>
      </c>
      <c r="J200" s="1">
        <v>10100</v>
      </c>
      <c r="K200" t="s">
        <v>464</v>
      </c>
      <c r="L200" t="s">
        <v>881</v>
      </c>
      <c r="M200" t="s">
        <v>274</v>
      </c>
      <c r="N200">
        <v>15</v>
      </c>
      <c r="O200">
        <v>63941</v>
      </c>
    </row>
    <row r="201" spans="1:15" x14ac:dyDescent="0.35">
      <c r="A201" t="s">
        <v>15</v>
      </c>
      <c r="B201" t="s">
        <v>52</v>
      </c>
      <c r="C201" t="s">
        <v>82</v>
      </c>
      <c r="D201" t="s">
        <v>326</v>
      </c>
      <c r="E201" t="s">
        <v>84</v>
      </c>
      <c r="F201" t="s">
        <v>312</v>
      </c>
      <c r="G201" t="s">
        <v>90</v>
      </c>
      <c r="H201" t="s">
        <v>41</v>
      </c>
      <c r="I201" t="s">
        <v>58</v>
      </c>
      <c r="J201">
        <v>420</v>
      </c>
      <c r="K201" t="s">
        <v>882</v>
      </c>
      <c r="L201" t="s">
        <v>883</v>
      </c>
      <c r="M201" t="s">
        <v>60</v>
      </c>
      <c r="N201">
        <v>4</v>
      </c>
      <c r="O201">
        <v>213594</v>
      </c>
    </row>
    <row r="202" spans="1:15" x14ac:dyDescent="0.35">
      <c r="A202" t="s">
        <v>75</v>
      </c>
      <c r="B202" t="s">
        <v>27</v>
      </c>
      <c r="C202" t="s">
        <v>61</v>
      </c>
      <c r="D202" t="s">
        <v>784</v>
      </c>
      <c r="E202" t="s">
        <v>61</v>
      </c>
      <c r="F202" t="s">
        <v>884</v>
      </c>
      <c r="G202" t="s">
        <v>786</v>
      </c>
      <c r="H202" t="s">
        <v>41</v>
      </c>
      <c r="I202" t="s">
        <v>58</v>
      </c>
      <c r="J202">
        <v>910</v>
      </c>
      <c r="K202" t="s">
        <v>885</v>
      </c>
      <c r="L202" t="s">
        <v>886</v>
      </c>
      <c r="M202" t="s">
        <v>60</v>
      </c>
      <c r="O202">
        <v>44202</v>
      </c>
    </row>
    <row r="203" spans="1:15" x14ac:dyDescent="0.35">
      <c r="A203" t="s">
        <v>15</v>
      </c>
      <c r="B203" t="s">
        <v>16</v>
      </c>
      <c r="C203" t="s">
        <v>17</v>
      </c>
      <c r="D203" t="s">
        <v>887</v>
      </c>
      <c r="E203" t="s">
        <v>888</v>
      </c>
      <c r="F203" t="s">
        <v>39</v>
      </c>
      <c r="G203" t="s">
        <v>229</v>
      </c>
      <c r="H203" t="s">
        <v>57</v>
      </c>
      <c r="I203" t="s">
        <v>58</v>
      </c>
      <c r="J203">
        <v>660</v>
      </c>
      <c r="K203" t="s">
        <v>889</v>
      </c>
      <c r="L203" t="s">
        <v>890</v>
      </c>
      <c r="M203" t="s">
        <v>891</v>
      </c>
      <c r="O203">
        <v>82201.5</v>
      </c>
    </row>
    <row r="204" spans="1:15" x14ac:dyDescent="0.35">
      <c r="A204" t="s">
        <v>15</v>
      </c>
      <c r="B204" t="s">
        <v>52</v>
      </c>
      <c r="C204" t="s">
        <v>36</v>
      </c>
      <c r="D204" t="s">
        <v>892</v>
      </c>
      <c r="E204" t="s">
        <v>893</v>
      </c>
      <c r="F204" t="s">
        <v>244</v>
      </c>
      <c r="G204" t="s">
        <v>894</v>
      </c>
      <c r="H204" t="s">
        <v>41</v>
      </c>
      <c r="I204" t="s">
        <v>58</v>
      </c>
      <c r="J204" s="1">
        <v>3800</v>
      </c>
      <c r="K204" t="s">
        <v>58</v>
      </c>
      <c r="L204" t="s">
        <v>895</v>
      </c>
      <c r="M204" t="s">
        <v>60</v>
      </c>
      <c r="N204">
        <v>2</v>
      </c>
      <c r="O204">
        <v>61375</v>
      </c>
    </row>
    <row r="205" spans="1:15" x14ac:dyDescent="0.35">
      <c r="A205" t="s">
        <v>15</v>
      </c>
      <c r="B205" t="s">
        <v>16</v>
      </c>
      <c r="C205" t="s">
        <v>36</v>
      </c>
      <c r="D205" t="s">
        <v>232</v>
      </c>
      <c r="E205" t="s">
        <v>233</v>
      </c>
      <c r="F205" t="s">
        <v>399</v>
      </c>
      <c r="G205" t="s">
        <v>234</v>
      </c>
      <c r="H205" t="s">
        <v>41</v>
      </c>
      <c r="I205" t="s">
        <v>23</v>
      </c>
      <c r="J205" s="1">
        <v>9020</v>
      </c>
      <c r="K205" t="s">
        <v>23</v>
      </c>
      <c r="L205" t="s">
        <v>896</v>
      </c>
      <c r="M205" t="s">
        <v>897</v>
      </c>
      <c r="N205">
        <v>5</v>
      </c>
      <c r="O205">
        <v>9140</v>
      </c>
    </row>
    <row r="206" spans="1:15" x14ac:dyDescent="0.35">
      <c r="A206" t="s">
        <v>15</v>
      </c>
      <c r="B206" t="s">
        <v>16</v>
      </c>
      <c r="C206" t="s">
        <v>36</v>
      </c>
      <c r="D206" t="s">
        <v>898</v>
      </c>
      <c r="E206" t="s">
        <v>899</v>
      </c>
      <c r="F206" t="s">
        <v>30</v>
      </c>
      <c r="G206" t="s">
        <v>900</v>
      </c>
      <c r="H206" t="s">
        <v>41</v>
      </c>
      <c r="I206" t="s">
        <v>23</v>
      </c>
      <c r="J206" s="1">
        <v>3780</v>
      </c>
      <c r="K206" t="s">
        <v>901</v>
      </c>
      <c r="L206" t="s">
        <v>902</v>
      </c>
      <c r="M206" t="s">
        <v>51</v>
      </c>
      <c r="N206">
        <v>15</v>
      </c>
      <c r="O206">
        <v>171710</v>
      </c>
    </row>
    <row r="207" spans="1:15" x14ac:dyDescent="0.35">
      <c r="A207" t="s">
        <v>75</v>
      </c>
      <c r="B207" t="s">
        <v>52</v>
      </c>
      <c r="C207" t="s">
        <v>17</v>
      </c>
      <c r="D207" t="s">
        <v>903</v>
      </c>
      <c r="E207" t="s">
        <v>904</v>
      </c>
      <c r="F207" t="s">
        <v>89</v>
      </c>
      <c r="G207" t="s">
        <v>90</v>
      </c>
      <c r="H207" t="s">
        <v>41</v>
      </c>
      <c r="I207" t="s">
        <v>58</v>
      </c>
      <c r="J207">
        <v>900</v>
      </c>
      <c r="K207" t="s">
        <v>905</v>
      </c>
      <c r="L207" t="s">
        <v>906</v>
      </c>
      <c r="M207" t="s">
        <v>60</v>
      </c>
      <c r="O207">
        <v>144491</v>
      </c>
    </row>
    <row r="208" spans="1:15" x14ac:dyDescent="0.35">
      <c r="A208" t="s">
        <v>15</v>
      </c>
      <c r="B208" t="s">
        <v>16</v>
      </c>
      <c r="C208" t="s">
        <v>82</v>
      </c>
      <c r="D208" t="s">
        <v>454</v>
      </c>
      <c r="E208" t="s">
        <v>84</v>
      </c>
      <c r="F208" t="s">
        <v>394</v>
      </c>
      <c r="G208" t="s">
        <v>412</v>
      </c>
      <c r="H208" t="s">
        <v>41</v>
      </c>
      <c r="I208" t="s">
        <v>23</v>
      </c>
      <c r="J208" s="1">
        <v>2780</v>
      </c>
      <c r="K208" t="s">
        <v>23</v>
      </c>
      <c r="L208" t="s">
        <v>907</v>
      </c>
      <c r="M208" t="s">
        <v>60</v>
      </c>
      <c r="N208">
        <v>11</v>
      </c>
      <c r="O208">
        <v>188519.5</v>
      </c>
    </row>
    <row r="209" spans="1:15" x14ac:dyDescent="0.35">
      <c r="A209" t="s">
        <v>15</v>
      </c>
      <c r="B209" t="s">
        <v>16</v>
      </c>
      <c r="C209" t="s">
        <v>36</v>
      </c>
      <c r="D209" t="s">
        <v>908</v>
      </c>
      <c r="E209" t="s">
        <v>77</v>
      </c>
      <c r="F209" t="s">
        <v>64</v>
      </c>
      <c r="G209" t="s">
        <v>909</v>
      </c>
      <c r="H209" t="s">
        <v>41</v>
      </c>
      <c r="I209" t="s">
        <v>23</v>
      </c>
      <c r="J209" s="1">
        <v>3760</v>
      </c>
      <c r="K209" t="s">
        <v>910</v>
      </c>
      <c r="L209" t="s">
        <v>911</v>
      </c>
      <c r="M209" t="s">
        <v>189</v>
      </c>
      <c r="N209">
        <v>3</v>
      </c>
      <c r="O209">
        <v>220344</v>
      </c>
    </row>
    <row r="210" spans="1:15" x14ac:dyDescent="0.35">
      <c r="A210" t="s">
        <v>15</v>
      </c>
      <c r="B210" t="s">
        <v>16</v>
      </c>
      <c r="C210" t="s">
        <v>82</v>
      </c>
      <c r="D210" t="s">
        <v>912</v>
      </c>
      <c r="E210" t="s">
        <v>84</v>
      </c>
      <c r="F210" t="s">
        <v>196</v>
      </c>
      <c r="G210" t="s">
        <v>913</v>
      </c>
      <c r="H210" t="s">
        <v>41</v>
      </c>
      <c r="I210" t="s">
        <v>58</v>
      </c>
      <c r="J210">
        <v>270</v>
      </c>
      <c r="K210" t="s">
        <v>58</v>
      </c>
      <c r="L210" t="s">
        <v>914</v>
      </c>
      <c r="M210" t="s">
        <v>60</v>
      </c>
      <c r="N210">
        <v>7</v>
      </c>
      <c r="O210">
        <v>146138</v>
      </c>
    </row>
    <row r="211" spans="1:15" x14ac:dyDescent="0.35">
      <c r="A211" t="s">
        <v>15</v>
      </c>
      <c r="B211" t="s">
        <v>16</v>
      </c>
      <c r="C211" t="s">
        <v>36</v>
      </c>
      <c r="D211" t="s">
        <v>915</v>
      </c>
      <c r="E211" t="s">
        <v>540</v>
      </c>
      <c r="F211" t="s">
        <v>39</v>
      </c>
      <c r="G211" t="s">
        <v>916</v>
      </c>
      <c r="H211" t="s">
        <v>57</v>
      </c>
      <c r="I211" t="s">
        <v>23</v>
      </c>
      <c r="J211" s="1">
        <v>62010</v>
      </c>
      <c r="K211" t="s">
        <v>917</v>
      </c>
      <c r="L211" t="s">
        <v>918</v>
      </c>
      <c r="M211" t="s">
        <v>919</v>
      </c>
      <c r="O211">
        <v>210405.5</v>
      </c>
    </row>
    <row r="212" spans="1:15" x14ac:dyDescent="0.35">
      <c r="A212" t="s">
        <v>15</v>
      </c>
      <c r="B212" t="s">
        <v>99</v>
      </c>
      <c r="C212" t="s">
        <v>36</v>
      </c>
      <c r="D212" t="s">
        <v>920</v>
      </c>
      <c r="E212" t="s">
        <v>860</v>
      </c>
      <c r="F212" t="s">
        <v>85</v>
      </c>
      <c r="G212" t="s">
        <v>921</v>
      </c>
      <c r="H212" t="s">
        <v>22</v>
      </c>
      <c r="I212" t="s">
        <v>23</v>
      </c>
      <c r="J212" s="1">
        <v>55120</v>
      </c>
      <c r="K212" t="s">
        <v>922</v>
      </c>
      <c r="L212" t="s">
        <v>923</v>
      </c>
      <c r="M212" t="s">
        <v>924</v>
      </c>
      <c r="N212">
        <v>6</v>
      </c>
      <c r="O212">
        <v>130064.5</v>
      </c>
    </row>
    <row r="213" spans="1:15" x14ac:dyDescent="0.35">
      <c r="A213" t="s">
        <v>15</v>
      </c>
      <c r="B213" t="s">
        <v>16</v>
      </c>
      <c r="C213" t="s">
        <v>36</v>
      </c>
      <c r="D213" t="s">
        <v>762</v>
      </c>
      <c r="E213" t="s">
        <v>763</v>
      </c>
      <c r="F213" t="s">
        <v>30</v>
      </c>
      <c r="G213" t="s">
        <v>764</v>
      </c>
      <c r="H213" t="s">
        <v>115</v>
      </c>
      <c r="I213" t="s">
        <v>23</v>
      </c>
      <c r="J213" s="1">
        <v>37970</v>
      </c>
      <c r="K213" t="s">
        <v>23</v>
      </c>
      <c r="L213" t="s">
        <v>925</v>
      </c>
      <c r="M213" t="s">
        <v>256</v>
      </c>
      <c r="N213">
        <v>15</v>
      </c>
      <c r="O213">
        <v>57318</v>
      </c>
    </row>
    <row r="214" spans="1:15" x14ac:dyDescent="0.35">
      <c r="A214" t="s">
        <v>15</v>
      </c>
      <c r="B214" t="s">
        <v>16</v>
      </c>
      <c r="C214" t="s">
        <v>36</v>
      </c>
      <c r="D214" t="s">
        <v>869</v>
      </c>
      <c r="E214" t="s">
        <v>54</v>
      </c>
      <c r="F214" t="s">
        <v>39</v>
      </c>
      <c r="G214" t="s">
        <v>65</v>
      </c>
      <c r="H214" t="s">
        <v>41</v>
      </c>
      <c r="I214" t="s">
        <v>58</v>
      </c>
      <c r="J214">
        <v>420</v>
      </c>
      <c r="K214" t="s">
        <v>58</v>
      </c>
      <c r="L214" t="s">
        <v>926</v>
      </c>
      <c r="M214" t="s">
        <v>60</v>
      </c>
      <c r="O214">
        <v>229706</v>
      </c>
    </row>
    <row r="215" spans="1:15" x14ac:dyDescent="0.35">
      <c r="A215" t="s">
        <v>15</v>
      </c>
      <c r="B215" t="s">
        <v>52</v>
      </c>
      <c r="C215" t="s">
        <v>17</v>
      </c>
      <c r="D215" t="s">
        <v>927</v>
      </c>
      <c r="E215" t="s">
        <v>928</v>
      </c>
      <c r="F215" t="s">
        <v>399</v>
      </c>
      <c r="G215" t="s">
        <v>86</v>
      </c>
      <c r="H215" t="s">
        <v>22</v>
      </c>
      <c r="I215" t="s">
        <v>23</v>
      </c>
      <c r="J215" s="1">
        <v>17010</v>
      </c>
      <c r="K215" t="s">
        <v>23</v>
      </c>
      <c r="L215" t="s">
        <v>929</v>
      </c>
      <c r="M215" t="s">
        <v>60</v>
      </c>
      <c r="N215">
        <v>5</v>
      </c>
      <c r="O215">
        <v>135632.5</v>
      </c>
    </row>
    <row r="216" spans="1:15" x14ac:dyDescent="0.35">
      <c r="A216" t="s">
        <v>15</v>
      </c>
      <c r="B216" t="s">
        <v>16</v>
      </c>
      <c r="C216" t="s">
        <v>61</v>
      </c>
      <c r="D216" t="s">
        <v>930</v>
      </c>
      <c r="E216" t="s">
        <v>228</v>
      </c>
      <c r="F216" t="s">
        <v>441</v>
      </c>
      <c r="G216" t="s">
        <v>931</v>
      </c>
      <c r="H216" t="s">
        <v>41</v>
      </c>
      <c r="I216" t="s">
        <v>23</v>
      </c>
      <c r="J216" s="1">
        <v>8270</v>
      </c>
      <c r="K216" t="s">
        <v>932</v>
      </c>
      <c r="L216" t="s">
        <v>933</v>
      </c>
      <c r="M216" t="s">
        <v>934</v>
      </c>
      <c r="N216">
        <v>10</v>
      </c>
      <c r="O216">
        <v>113437.5</v>
      </c>
    </row>
    <row r="217" spans="1:15" x14ac:dyDescent="0.35">
      <c r="A217" t="s">
        <v>15</v>
      </c>
      <c r="B217" t="s">
        <v>16</v>
      </c>
      <c r="C217" t="s">
        <v>82</v>
      </c>
      <c r="D217" t="s">
        <v>799</v>
      </c>
      <c r="E217" t="s">
        <v>120</v>
      </c>
      <c r="F217" t="s">
        <v>39</v>
      </c>
      <c r="G217" t="s">
        <v>801</v>
      </c>
      <c r="H217" t="s">
        <v>57</v>
      </c>
      <c r="I217" t="s">
        <v>23</v>
      </c>
      <c r="J217" s="1">
        <v>7290</v>
      </c>
      <c r="K217" t="s">
        <v>23</v>
      </c>
      <c r="L217" t="s">
        <v>935</v>
      </c>
      <c r="M217" t="s">
        <v>803</v>
      </c>
      <c r="O217">
        <v>120989.5</v>
      </c>
    </row>
    <row r="218" spans="1:15" x14ac:dyDescent="0.35">
      <c r="A218" t="s">
        <v>75</v>
      </c>
      <c r="B218" t="s">
        <v>99</v>
      </c>
      <c r="C218" t="s">
        <v>36</v>
      </c>
      <c r="D218" t="s">
        <v>795</v>
      </c>
      <c r="E218" t="s">
        <v>63</v>
      </c>
      <c r="F218" t="s">
        <v>125</v>
      </c>
      <c r="G218" t="s">
        <v>797</v>
      </c>
      <c r="H218" t="s">
        <v>41</v>
      </c>
      <c r="I218" t="s">
        <v>58</v>
      </c>
      <c r="J218" s="1">
        <v>14060</v>
      </c>
      <c r="K218" t="s">
        <v>58</v>
      </c>
      <c r="L218" t="s">
        <v>936</v>
      </c>
      <c r="M218" t="s">
        <v>937</v>
      </c>
      <c r="N218">
        <v>14</v>
      </c>
      <c r="O218">
        <v>184127</v>
      </c>
    </row>
    <row r="219" spans="1:15" x14ac:dyDescent="0.35">
      <c r="A219" t="s">
        <v>15</v>
      </c>
      <c r="B219" t="s">
        <v>16</v>
      </c>
      <c r="C219" t="s">
        <v>36</v>
      </c>
      <c r="D219" t="s">
        <v>938</v>
      </c>
      <c r="E219" t="s">
        <v>54</v>
      </c>
      <c r="F219" t="s">
        <v>939</v>
      </c>
      <c r="G219" t="s">
        <v>90</v>
      </c>
      <c r="H219" t="s">
        <v>41</v>
      </c>
      <c r="I219" t="s">
        <v>58</v>
      </c>
      <c r="J219">
        <v>320</v>
      </c>
      <c r="K219" t="s">
        <v>58</v>
      </c>
      <c r="L219" t="s">
        <v>940</v>
      </c>
      <c r="M219" t="s">
        <v>60</v>
      </c>
      <c r="N219">
        <v>4</v>
      </c>
      <c r="O219">
        <v>28130</v>
      </c>
    </row>
    <row r="220" spans="1:15" x14ac:dyDescent="0.35">
      <c r="A220" t="s">
        <v>15</v>
      </c>
      <c r="B220" t="s">
        <v>99</v>
      </c>
      <c r="C220" t="s">
        <v>36</v>
      </c>
      <c r="D220" t="s">
        <v>941</v>
      </c>
      <c r="E220" t="s">
        <v>165</v>
      </c>
      <c r="F220" t="s">
        <v>30</v>
      </c>
      <c r="G220" t="s">
        <v>942</v>
      </c>
      <c r="H220" t="s">
        <v>41</v>
      </c>
      <c r="I220" t="s">
        <v>23</v>
      </c>
      <c r="J220" s="1">
        <v>9770</v>
      </c>
      <c r="K220" t="s">
        <v>23</v>
      </c>
      <c r="L220" t="s">
        <v>943</v>
      </c>
      <c r="M220" t="s">
        <v>944</v>
      </c>
      <c r="N220">
        <v>15</v>
      </c>
      <c r="O220">
        <v>186282</v>
      </c>
    </row>
    <row r="221" spans="1:15" x14ac:dyDescent="0.35">
      <c r="A221" t="s">
        <v>15</v>
      </c>
      <c r="B221" t="s">
        <v>16</v>
      </c>
      <c r="C221" t="s">
        <v>36</v>
      </c>
      <c r="D221" t="s">
        <v>945</v>
      </c>
      <c r="E221" t="s">
        <v>94</v>
      </c>
      <c r="F221" t="s">
        <v>39</v>
      </c>
      <c r="G221" t="s">
        <v>946</v>
      </c>
      <c r="H221" t="s">
        <v>57</v>
      </c>
      <c r="I221" t="s">
        <v>58</v>
      </c>
      <c r="J221" s="1">
        <v>1280</v>
      </c>
      <c r="K221" t="s">
        <v>58</v>
      </c>
      <c r="L221" t="s">
        <v>947</v>
      </c>
      <c r="M221" t="s">
        <v>948</v>
      </c>
      <c r="O221">
        <v>84578.5</v>
      </c>
    </row>
    <row r="222" spans="1:15" x14ac:dyDescent="0.35">
      <c r="A222" t="s">
        <v>15</v>
      </c>
      <c r="B222" t="s">
        <v>16</v>
      </c>
      <c r="C222" t="s">
        <v>17</v>
      </c>
      <c r="D222" t="s">
        <v>949</v>
      </c>
      <c r="E222" t="s">
        <v>950</v>
      </c>
      <c r="F222" t="s">
        <v>30</v>
      </c>
      <c r="G222" t="s">
        <v>951</v>
      </c>
      <c r="H222" t="s">
        <v>41</v>
      </c>
      <c r="I222" t="s">
        <v>23</v>
      </c>
      <c r="J222">
        <v>351</v>
      </c>
      <c r="K222" t="s">
        <v>23</v>
      </c>
      <c r="L222" t="s">
        <v>952</v>
      </c>
      <c r="M222" t="s">
        <v>953</v>
      </c>
      <c r="N222">
        <v>15</v>
      </c>
      <c r="O222">
        <v>114170</v>
      </c>
    </row>
    <row r="223" spans="1:15" x14ac:dyDescent="0.35">
      <c r="A223" t="s">
        <v>15</v>
      </c>
      <c r="B223" t="s">
        <v>16</v>
      </c>
      <c r="C223" t="s">
        <v>17</v>
      </c>
      <c r="D223" t="s">
        <v>954</v>
      </c>
      <c r="E223" t="s">
        <v>335</v>
      </c>
      <c r="F223" t="s">
        <v>39</v>
      </c>
      <c r="G223" t="s">
        <v>48</v>
      </c>
      <c r="H223" t="s">
        <v>41</v>
      </c>
      <c r="I223" t="s">
        <v>23</v>
      </c>
      <c r="J223" s="1">
        <v>98130</v>
      </c>
      <c r="K223" t="s">
        <v>955</v>
      </c>
      <c r="L223" t="s">
        <v>956</v>
      </c>
      <c r="M223" t="s">
        <v>957</v>
      </c>
      <c r="O223">
        <v>32665</v>
      </c>
    </row>
    <row r="224" spans="1:15" x14ac:dyDescent="0.35">
      <c r="A224" t="s">
        <v>15</v>
      </c>
      <c r="B224" t="s">
        <v>16</v>
      </c>
      <c r="C224" t="s">
        <v>82</v>
      </c>
      <c r="D224" t="s">
        <v>958</v>
      </c>
      <c r="E224" t="s">
        <v>959</v>
      </c>
      <c r="F224" t="s">
        <v>196</v>
      </c>
      <c r="G224" t="s">
        <v>204</v>
      </c>
      <c r="H224" t="s">
        <v>57</v>
      </c>
      <c r="I224" t="s">
        <v>61</v>
      </c>
      <c r="J224" s="1">
        <v>2810</v>
      </c>
      <c r="K224" t="s">
        <v>960</v>
      </c>
      <c r="L224" t="s">
        <v>961</v>
      </c>
      <c r="M224" t="s">
        <v>475</v>
      </c>
      <c r="N224">
        <v>7</v>
      </c>
      <c r="O224">
        <v>127509</v>
      </c>
    </row>
    <row r="225" spans="1:15" x14ac:dyDescent="0.35">
      <c r="A225" t="s">
        <v>15</v>
      </c>
      <c r="B225" t="s">
        <v>99</v>
      </c>
      <c r="C225" t="s">
        <v>82</v>
      </c>
      <c r="D225" t="s">
        <v>962</v>
      </c>
      <c r="E225" t="s">
        <v>963</v>
      </c>
      <c r="F225" t="s">
        <v>30</v>
      </c>
      <c r="G225" t="s">
        <v>964</v>
      </c>
      <c r="H225" t="s">
        <v>41</v>
      </c>
      <c r="I225" t="s">
        <v>61</v>
      </c>
      <c r="J225" t="s">
        <v>58</v>
      </c>
      <c r="K225" t="s">
        <v>965</v>
      </c>
      <c r="L225" t="s">
        <v>966</v>
      </c>
      <c r="M225" t="s">
        <v>110</v>
      </c>
      <c r="N225">
        <v>15</v>
      </c>
      <c r="O225">
        <v>25212</v>
      </c>
    </row>
    <row r="226" spans="1:15" x14ac:dyDescent="0.35">
      <c r="A226" t="s">
        <v>15</v>
      </c>
      <c r="B226" t="s">
        <v>16</v>
      </c>
      <c r="C226" t="s">
        <v>61</v>
      </c>
      <c r="D226" t="s">
        <v>967</v>
      </c>
      <c r="E226" t="s">
        <v>968</v>
      </c>
      <c r="F226" t="s">
        <v>39</v>
      </c>
      <c r="G226" t="s">
        <v>969</v>
      </c>
      <c r="H226" t="s">
        <v>41</v>
      </c>
      <c r="I226" t="s">
        <v>23</v>
      </c>
      <c r="J226" s="1">
        <v>2520</v>
      </c>
      <c r="K226" t="s">
        <v>23</v>
      </c>
      <c r="L226" t="s">
        <v>970</v>
      </c>
      <c r="M226" t="s">
        <v>51</v>
      </c>
      <c r="O226">
        <v>105439</v>
      </c>
    </row>
    <row r="227" spans="1:15" x14ac:dyDescent="0.35">
      <c r="A227" t="s">
        <v>15</v>
      </c>
      <c r="B227" t="s">
        <v>16</v>
      </c>
      <c r="C227" t="s">
        <v>17</v>
      </c>
      <c r="D227" t="s">
        <v>971</v>
      </c>
      <c r="E227" t="s">
        <v>258</v>
      </c>
      <c r="F227" t="s">
        <v>39</v>
      </c>
      <c r="G227" t="s">
        <v>65</v>
      </c>
      <c r="H227" t="s">
        <v>41</v>
      </c>
      <c r="I227" t="s">
        <v>58</v>
      </c>
      <c r="J227">
        <v>500</v>
      </c>
      <c r="K227" t="s">
        <v>58</v>
      </c>
      <c r="L227" t="s">
        <v>972</v>
      </c>
      <c r="M227" t="s">
        <v>60</v>
      </c>
      <c r="O227">
        <v>127874.5</v>
      </c>
    </row>
    <row r="228" spans="1:15" x14ac:dyDescent="0.35">
      <c r="A228" t="s">
        <v>15</v>
      </c>
      <c r="B228" t="s">
        <v>16</v>
      </c>
      <c r="C228" t="s">
        <v>82</v>
      </c>
      <c r="D228" t="s">
        <v>973</v>
      </c>
      <c r="E228" t="s">
        <v>974</v>
      </c>
      <c r="F228" t="s">
        <v>203</v>
      </c>
      <c r="G228" t="s">
        <v>537</v>
      </c>
      <c r="H228" t="s">
        <v>41</v>
      </c>
      <c r="I228" t="s">
        <v>58</v>
      </c>
      <c r="J228" s="1">
        <v>5560</v>
      </c>
      <c r="K228" t="s">
        <v>58</v>
      </c>
      <c r="L228" t="s">
        <v>975</v>
      </c>
      <c r="M228" t="s">
        <v>976</v>
      </c>
      <c r="N228">
        <v>25</v>
      </c>
      <c r="O228">
        <v>55995</v>
      </c>
    </row>
    <row r="229" spans="1:15" x14ac:dyDescent="0.35">
      <c r="A229" t="s">
        <v>15</v>
      </c>
      <c r="B229" t="s">
        <v>27</v>
      </c>
      <c r="C229" t="s">
        <v>17</v>
      </c>
      <c r="D229" t="s">
        <v>977</v>
      </c>
      <c r="E229" t="s">
        <v>978</v>
      </c>
      <c r="F229" t="s">
        <v>244</v>
      </c>
      <c r="G229" t="s">
        <v>514</v>
      </c>
      <c r="H229" t="s">
        <v>41</v>
      </c>
      <c r="I229" t="s">
        <v>58</v>
      </c>
      <c r="J229">
        <v>126</v>
      </c>
      <c r="K229" t="s">
        <v>58</v>
      </c>
      <c r="L229" t="s">
        <v>979</v>
      </c>
      <c r="M229" t="s">
        <v>60</v>
      </c>
      <c r="N229">
        <v>2</v>
      </c>
      <c r="O229">
        <v>223773.5</v>
      </c>
    </row>
    <row r="230" spans="1:15" x14ac:dyDescent="0.35">
      <c r="A230" t="s">
        <v>15</v>
      </c>
      <c r="B230" t="s">
        <v>16</v>
      </c>
      <c r="C230" t="s">
        <v>17</v>
      </c>
      <c r="D230" t="s">
        <v>980</v>
      </c>
      <c r="E230" t="s">
        <v>202</v>
      </c>
      <c r="F230" t="s">
        <v>312</v>
      </c>
      <c r="G230" t="s">
        <v>90</v>
      </c>
      <c r="H230" t="s">
        <v>41</v>
      </c>
      <c r="I230" t="s">
        <v>58</v>
      </c>
      <c r="J230">
        <v>45</v>
      </c>
      <c r="K230" t="s">
        <v>58</v>
      </c>
      <c r="L230" t="s">
        <v>981</v>
      </c>
      <c r="M230" t="s">
        <v>659</v>
      </c>
      <c r="N230">
        <v>4</v>
      </c>
      <c r="O230">
        <v>230622.5</v>
      </c>
    </row>
    <row r="231" spans="1:15" x14ac:dyDescent="0.35">
      <c r="A231" t="s">
        <v>15</v>
      </c>
      <c r="B231" t="s">
        <v>52</v>
      </c>
      <c r="C231" t="s">
        <v>17</v>
      </c>
      <c r="D231" t="s">
        <v>982</v>
      </c>
      <c r="E231" t="s">
        <v>507</v>
      </c>
      <c r="F231" t="s">
        <v>39</v>
      </c>
      <c r="G231" t="s">
        <v>150</v>
      </c>
      <c r="H231" t="s">
        <v>41</v>
      </c>
      <c r="I231" t="s">
        <v>58</v>
      </c>
      <c r="J231">
        <v>56</v>
      </c>
      <c r="K231" t="s">
        <v>58</v>
      </c>
      <c r="L231" t="s">
        <v>983</v>
      </c>
      <c r="M231" t="s">
        <v>60</v>
      </c>
      <c r="O231">
        <v>45675.5</v>
      </c>
    </row>
    <row r="232" spans="1:15" x14ac:dyDescent="0.35">
      <c r="A232" t="s">
        <v>15</v>
      </c>
      <c r="B232" t="s">
        <v>16</v>
      </c>
      <c r="C232" t="s">
        <v>36</v>
      </c>
      <c r="D232" t="s">
        <v>984</v>
      </c>
      <c r="E232" t="s">
        <v>161</v>
      </c>
      <c r="F232" t="s">
        <v>399</v>
      </c>
      <c r="G232" t="s">
        <v>150</v>
      </c>
      <c r="H232" t="s">
        <v>57</v>
      </c>
      <c r="I232" t="s">
        <v>58</v>
      </c>
      <c r="J232" s="1">
        <v>45050</v>
      </c>
      <c r="K232" t="s">
        <v>58</v>
      </c>
      <c r="L232" t="s">
        <v>985</v>
      </c>
      <c r="M232" t="s">
        <v>200</v>
      </c>
      <c r="N232">
        <v>5</v>
      </c>
      <c r="O232">
        <v>134807.5</v>
      </c>
    </row>
    <row r="233" spans="1:15" x14ac:dyDescent="0.35">
      <c r="A233" t="s">
        <v>15</v>
      </c>
      <c r="B233" t="s">
        <v>16</v>
      </c>
      <c r="C233" t="s">
        <v>61</v>
      </c>
      <c r="D233" t="s">
        <v>227</v>
      </c>
      <c r="E233" t="s">
        <v>228</v>
      </c>
      <c r="F233" t="s">
        <v>399</v>
      </c>
      <c r="G233" t="s">
        <v>229</v>
      </c>
      <c r="H233" t="s">
        <v>41</v>
      </c>
      <c r="I233" t="s">
        <v>58</v>
      </c>
      <c r="J233">
        <v>210</v>
      </c>
      <c r="K233" t="s">
        <v>58</v>
      </c>
      <c r="L233" t="s">
        <v>986</v>
      </c>
      <c r="M233" t="s">
        <v>919</v>
      </c>
      <c r="N233">
        <v>5</v>
      </c>
      <c r="O233">
        <v>87407</v>
      </c>
    </row>
    <row r="234" spans="1:15" x14ac:dyDescent="0.35">
      <c r="A234" t="s">
        <v>15</v>
      </c>
      <c r="B234" t="s">
        <v>52</v>
      </c>
      <c r="C234" t="s">
        <v>36</v>
      </c>
      <c r="D234" t="s">
        <v>987</v>
      </c>
      <c r="E234" t="s">
        <v>988</v>
      </c>
      <c r="F234" t="s">
        <v>244</v>
      </c>
      <c r="G234" t="s">
        <v>90</v>
      </c>
      <c r="H234" t="s">
        <v>41</v>
      </c>
      <c r="I234" t="s">
        <v>58</v>
      </c>
      <c r="J234">
        <v>150</v>
      </c>
      <c r="K234" t="s">
        <v>58</v>
      </c>
      <c r="L234" t="s">
        <v>989</v>
      </c>
      <c r="M234" t="s">
        <v>60</v>
      </c>
      <c r="N234">
        <v>2</v>
      </c>
      <c r="O234">
        <v>154356</v>
      </c>
    </row>
    <row r="235" spans="1:15" x14ac:dyDescent="0.35">
      <c r="A235" t="s">
        <v>15</v>
      </c>
      <c r="B235" t="s">
        <v>16</v>
      </c>
      <c r="C235" t="s">
        <v>61</v>
      </c>
      <c r="D235" t="s">
        <v>990</v>
      </c>
      <c r="E235" t="s">
        <v>991</v>
      </c>
      <c r="F235" t="s">
        <v>39</v>
      </c>
      <c r="G235" t="s">
        <v>594</v>
      </c>
      <c r="H235" t="s">
        <v>41</v>
      </c>
      <c r="I235" t="s">
        <v>23</v>
      </c>
      <c r="J235" s="1">
        <v>1800</v>
      </c>
      <c r="K235" t="s">
        <v>23</v>
      </c>
      <c r="L235" t="s">
        <v>992</v>
      </c>
      <c r="M235" t="s">
        <v>993</v>
      </c>
      <c r="O235">
        <v>109604</v>
      </c>
    </row>
    <row r="236" spans="1:15" x14ac:dyDescent="0.35">
      <c r="A236" t="s">
        <v>15</v>
      </c>
      <c r="B236" t="s">
        <v>27</v>
      </c>
      <c r="C236" t="s">
        <v>61</v>
      </c>
      <c r="D236" t="s">
        <v>994</v>
      </c>
      <c r="E236" t="s">
        <v>995</v>
      </c>
      <c r="F236" t="s">
        <v>85</v>
      </c>
      <c r="G236" t="s">
        <v>65</v>
      </c>
      <c r="H236" t="s">
        <v>41</v>
      </c>
      <c r="I236" t="s">
        <v>58</v>
      </c>
      <c r="J236" s="1">
        <v>1020</v>
      </c>
      <c r="K236" t="s">
        <v>58</v>
      </c>
      <c r="L236" t="s">
        <v>996</v>
      </c>
      <c r="M236" t="s">
        <v>475</v>
      </c>
      <c r="N236">
        <v>6</v>
      </c>
      <c r="O236">
        <v>152988</v>
      </c>
    </row>
    <row r="237" spans="1:15" x14ac:dyDescent="0.35">
      <c r="A237" t="s">
        <v>15</v>
      </c>
      <c r="B237" t="s">
        <v>16</v>
      </c>
      <c r="C237" t="s">
        <v>36</v>
      </c>
      <c r="D237" t="s">
        <v>997</v>
      </c>
      <c r="E237" t="s">
        <v>998</v>
      </c>
      <c r="F237" t="s">
        <v>64</v>
      </c>
      <c r="G237" t="s">
        <v>999</v>
      </c>
      <c r="H237" t="s">
        <v>41</v>
      </c>
      <c r="I237" t="s">
        <v>58</v>
      </c>
      <c r="J237">
        <v>45</v>
      </c>
      <c r="K237" t="s">
        <v>58</v>
      </c>
      <c r="L237" t="s">
        <v>1000</v>
      </c>
      <c r="M237" t="s">
        <v>60</v>
      </c>
      <c r="N237">
        <v>3</v>
      </c>
      <c r="O237">
        <v>142940.5</v>
      </c>
    </row>
    <row r="238" spans="1:15" x14ac:dyDescent="0.35">
      <c r="A238" t="s">
        <v>15</v>
      </c>
      <c r="B238" t="s">
        <v>99</v>
      </c>
      <c r="C238" t="s">
        <v>82</v>
      </c>
      <c r="D238" t="s">
        <v>962</v>
      </c>
      <c r="E238" t="s">
        <v>1001</v>
      </c>
      <c r="F238" t="s">
        <v>125</v>
      </c>
      <c r="G238" t="s">
        <v>964</v>
      </c>
      <c r="H238" t="s">
        <v>41</v>
      </c>
      <c r="I238" t="s">
        <v>61</v>
      </c>
      <c r="J238" t="s">
        <v>58</v>
      </c>
      <c r="K238" t="s">
        <v>965</v>
      </c>
      <c r="L238" t="s">
        <v>1002</v>
      </c>
      <c r="M238" t="s">
        <v>110</v>
      </c>
      <c r="N238">
        <v>14</v>
      </c>
      <c r="O238">
        <v>25214</v>
      </c>
    </row>
    <row r="239" spans="1:15" x14ac:dyDescent="0.35">
      <c r="A239" t="s">
        <v>15</v>
      </c>
      <c r="B239" t="s">
        <v>99</v>
      </c>
      <c r="C239" t="s">
        <v>36</v>
      </c>
      <c r="D239" t="s">
        <v>1003</v>
      </c>
      <c r="E239" t="s">
        <v>1004</v>
      </c>
      <c r="F239" t="s">
        <v>113</v>
      </c>
      <c r="G239" t="s">
        <v>1005</v>
      </c>
      <c r="H239" t="s">
        <v>115</v>
      </c>
      <c r="I239" t="s">
        <v>61</v>
      </c>
      <c r="J239" s="1">
        <v>55010</v>
      </c>
      <c r="K239" t="s">
        <v>960</v>
      </c>
      <c r="L239" t="s">
        <v>1006</v>
      </c>
      <c r="M239" t="s">
        <v>60</v>
      </c>
      <c r="N239">
        <v>19</v>
      </c>
      <c r="O239">
        <v>144386.5</v>
      </c>
    </row>
    <row r="240" spans="1:15" x14ac:dyDescent="0.35">
      <c r="A240" t="s">
        <v>15</v>
      </c>
      <c r="B240" t="s">
        <v>16</v>
      </c>
      <c r="C240" t="s">
        <v>61</v>
      </c>
      <c r="D240" t="s">
        <v>1007</v>
      </c>
      <c r="E240" t="s">
        <v>1008</v>
      </c>
      <c r="F240" t="s">
        <v>399</v>
      </c>
      <c r="G240" t="s">
        <v>946</v>
      </c>
      <c r="H240" t="s">
        <v>41</v>
      </c>
      <c r="I240" t="s">
        <v>58</v>
      </c>
      <c r="J240">
        <v>420</v>
      </c>
      <c r="K240" t="s">
        <v>58</v>
      </c>
      <c r="L240" t="s">
        <v>1009</v>
      </c>
      <c r="M240" t="s">
        <v>1010</v>
      </c>
      <c r="N240">
        <v>5</v>
      </c>
      <c r="O240">
        <v>76724</v>
      </c>
    </row>
    <row r="241" spans="1:15" x14ac:dyDescent="0.35">
      <c r="A241" t="s">
        <v>15</v>
      </c>
      <c r="B241" t="s">
        <v>99</v>
      </c>
      <c r="C241" t="s">
        <v>36</v>
      </c>
      <c r="D241" t="s">
        <v>1011</v>
      </c>
      <c r="E241" t="s">
        <v>855</v>
      </c>
      <c r="F241" t="s">
        <v>39</v>
      </c>
      <c r="G241" t="s">
        <v>1012</v>
      </c>
      <c r="H241" t="s">
        <v>22</v>
      </c>
      <c r="I241" t="s">
        <v>23</v>
      </c>
      <c r="J241" s="1">
        <v>7100</v>
      </c>
      <c r="K241" t="s">
        <v>23</v>
      </c>
      <c r="L241" t="s">
        <v>1013</v>
      </c>
      <c r="M241" t="s">
        <v>267</v>
      </c>
      <c r="O241">
        <v>159608.5</v>
      </c>
    </row>
    <row r="242" spans="1:15" x14ac:dyDescent="0.35">
      <c r="A242" t="s">
        <v>15</v>
      </c>
      <c r="B242" t="s">
        <v>16</v>
      </c>
      <c r="C242" t="s">
        <v>36</v>
      </c>
      <c r="D242" t="s">
        <v>535</v>
      </c>
      <c r="E242" t="s">
        <v>1014</v>
      </c>
      <c r="F242" t="s">
        <v>64</v>
      </c>
      <c r="G242" t="s">
        <v>537</v>
      </c>
      <c r="H242" t="s">
        <v>115</v>
      </c>
      <c r="I242" t="s">
        <v>23</v>
      </c>
      <c r="J242" s="1">
        <v>82030</v>
      </c>
      <c r="K242" t="s">
        <v>23</v>
      </c>
      <c r="L242" t="s">
        <v>1015</v>
      </c>
      <c r="M242" t="s">
        <v>1016</v>
      </c>
      <c r="N242">
        <v>3</v>
      </c>
      <c r="O242">
        <v>27524</v>
      </c>
    </row>
    <row r="243" spans="1:15" x14ac:dyDescent="0.35">
      <c r="A243" t="s">
        <v>15</v>
      </c>
      <c r="B243" t="s">
        <v>16</v>
      </c>
      <c r="C243" t="s">
        <v>36</v>
      </c>
      <c r="D243" t="s">
        <v>987</v>
      </c>
      <c r="E243" t="s">
        <v>988</v>
      </c>
      <c r="F243" t="s">
        <v>856</v>
      </c>
      <c r="G243" t="s">
        <v>90</v>
      </c>
      <c r="H243" t="s">
        <v>41</v>
      </c>
      <c r="I243" t="s">
        <v>58</v>
      </c>
      <c r="J243">
        <v>150</v>
      </c>
      <c r="K243" t="s">
        <v>58</v>
      </c>
      <c r="L243" t="s">
        <v>1017</v>
      </c>
      <c r="M243" t="s">
        <v>60</v>
      </c>
      <c r="N243">
        <v>23</v>
      </c>
      <c r="O243">
        <v>151203</v>
      </c>
    </row>
    <row r="244" spans="1:15" x14ac:dyDescent="0.35">
      <c r="A244" t="s">
        <v>15</v>
      </c>
      <c r="B244" t="s">
        <v>27</v>
      </c>
      <c r="C244" t="s">
        <v>17</v>
      </c>
      <c r="D244" t="s">
        <v>1018</v>
      </c>
      <c r="E244" t="s">
        <v>335</v>
      </c>
      <c r="F244" t="s">
        <v>39</v>
      </c>
      <c r="G244" t="s">
        <v>150</v>
      </c>
      <c r="H244" t="s">
        <v>57</v>
      </c>
      <c r="I244" t="s">
        <v>58</v>
      </c>
      <c r="J244" s="1">
        <v>7030</v>
      </c>
      <c r="K244" t="s">
        <v>58</v>
      </c>
      <c r="L244" t="s">
        <v>1019</v>
      </c>
      <c r="M244" t="s">
        <v>1020</v>
      </c>
      <c r="O244">
        <v>14064</v>
      </c>
    </row>
    <row r="245" spans="1:15" x14ac:dyDescent="0.35">
      <c r="A245" t="s">
        <v>75</v>
      </c>
      <c r="B245" t="s">
        <v>16</v>
      </c>
      <c r="C245" t="s">
        <v>36</v>
      </c>
      <c r="D245" t="s">
        <v>1021</v>
      </c>
      <c r="E245" t="s">
        <v>1022</v>
      </c>
      <c r="F245" t="s">
        <v>125</v>
      </c>
      <c r="G245" t="s">
        <v>90</v>
      </c>
      <c r="H245" t="s">
        <v>41</v>
      </c>
      <c r="I245" t="s">
        <v>58</v>
      </c>
      <c r="J245" s="1">
        <v>3570</v>
      </c>
      <c r="K245" t="s">
        <v>58</v>
      </c>
      <c r="L245" t="s">
        <v>1023</v>
      </c>
      <c r="M245" t="s">
        <v>1024</v>
      </c>
      <c r="N245">
        <v>14</v>
      </c>
      <c r="O245">
        <v>160108</v>
      </c>
    </row>
    <row r="246" spans="1:15" x14ac:dyDescent="0.35">
      <c r="A246" t="s">
        <v>75</v>
      </c>
      <c r="B246" t="s">
        <v>99</v>
      </c>
      <c r="C246" t="s">
        <v>36</v>
      </c>
      <c r="D246" t="s">
        <v>1025</v>
      </c>
      <c r="E246" t="s">
        <v>1026</v>
      </c>
      <c r="F246" t="s">
        <v>277</v>
      </c>
      <c r="G246" t="s">
        <v>1027</v>
      </c>
      <c r="H246" t="s">
        <v>41</v>
      </c>
      <c r="I246" t="s">
        <v>23</v>
      </c>
      <c r="J246" s="1">
        <v>309170</v>
      </c>
      <c r="K246" t="s">
        <v>23</v>
      </c>
      <c r="L246" t="s">
        <v>1028</v>
      </c>
      <c r="M246" t="s">
        <v>874</v>
      </c>
      <c r="N246">
        <v>12</v>
      </c>
      <c r="O246">
        <v>155267.5</v>
      </c>
    </row>
    <row r="247" spans="1:15" x14ac:dyDescent="0.35">
      <c r="A247" t="s">
        <v>15</v>
      </c>
      <c r="B247" t="s">
        <v>16</v>
      </c>
      <c r="C247" t="s">
        <v>61</v>
      </c>
      <c r="D247" t="s">
        <v>1029</v>
      </c>
      <c r="E247" t="s">
        <v>1030</v>
      </c>
      <c r="F247" t="s">
        <v>125</v>
      </c>
      <c r="G247" t="s">
        <v>1031</v>
      </c>
      <c r="H247" t="s">
        <v>156</v>
      </c>
      <c r="I247" t="s">
        <v>61</v>
      </c>
      <c r="J247" s="1">
        <v>12802</v>
      </c>
      <c r="K247" t="s">
        <v>73</v>
      </c>
      <c r="L247" t="s">
        <v>1032</v>
      </c>
      <c r="M247" t="s">
        <v>1033</v>
      </c>
      <c r="N247">
        <v>14</v>
      </c>
      <c r="O247">
        <v>153673</v>
      </c>
    </row>
    <row r="248" spans="1:15" x14ac:dyDescent="0.35">
      <c r="A248" t="s">
        <v>15</v>
      </c>
      <c r="B248" t="s">
        <v>16</v>
      </c>
      <c r="C248" t="s">
        <v>36</v>
      </c>
      <c r="D248" t="s">
        <v>1034</v>
      </c>
      <c r="E248" t="s">
        <v>1035</v>
      </c>
      <c r="F248" t="s">
        <v>85</v>
      </c>
      <c r="G248" t="s">
        <v>1036</v>
      </c>
      <c r="H248" t="s">
        <v>41</v>
      </c>
      <c r="I248" t="s">
        <v>58</v>
      </c>
      <c r="J248" s="1">
        <v>5540</v>
      </c>
      <c r="K248" t="s">
        <v>58</v>
      </c>
      <c r="L248" t="s">
        <v>1037</v>
      </c>
      <c r="M248" t="s">
        <v>1038</v>
      </c>
      <c r="N248">
        <v>6</v>
      </c>
      <c r="O248">
        <v>131412.5</v>
      </c>
    </row>
    <row r="249" spans="1:15" x14ac:dyDescent="0.35">
      <c r="A249" t="s">
        <v>15</v>
      </c>
      <c r="B249" t="s">
        <v>16</v>
      </c>
      <c r="C249" t="s">
        <v>82</v>
      </c>
      <c r="D249" t="s">
        <v>1039</v>
      </c>
      <c r="E249" t="s">
        <v>1040</v>
      </c>
      <c r="F249" t="s">
        <v>113</v>
      </c>
      <c r="G249" t="s">
        <v>797</v>
      </c>
      <c r="H249" t="s">
        <v>115</v>
      </c>
      <c r="I249" t="s">
        <v>23</v>
      </c>
      <c r="J249">
        <v>660</v>
      </c>
      <c r="K249" t="s">
        <v>23</v>
      </c>
      <c r="L249" t="s">
        <v>1041</v>
      </c>
      <c r="M249" t="s">
        <v>1042</v>
      </c>
      <c r="N249">
        <v>19</v>
      </c>
      <c r="O249">
        <v>188154</v>
      </c>
    </row>
    <row r="250" spans="1:15" x14ac:dyDescent="0.35">
      <c r="A250" t="s">
        <v>15</v>
      </c>
      <c r="B250" t="s">
        <v>52</v>
      </c>
      <c r="C250" t="s">
        <v>36</v>
      </c>
      <c r="D250" t="s">
        <v>1043</v>
      </c>
      <c r="E250" t="s">
        <v>1044</v>
      </c>
      <c r="F250" t="s">
        <v>292</v>
      </c>
      <c r="G250" t="s">
        <v>412</v>
      </c>
      <c r="H250" t="s">
        <v>41</v>
      </c>
      <c r="I250" t="s">
        <v>58</v>
      </c>
      <c r="J250">
        <v>310</v>
      </c>
      <c r="K250" t="s">
        <v>58</v>
      </c>
      <c r="L250" t="s">
        <v>1045</v>
      </c>
      <c r="M250" t="s">
        <v>60</v>
      </c>
      <c r="N250">
        <v>5</v>
      </c>
      <c r="O250">
        <v>187241</v>
      </c>
    </row>
    <row r="251" spans="1:15" x14ac:dyDescent="0.35">
      <c r="A251" t="s">
        <v>75</v>
      </c>
      <c r="B251" t="s">
        <v>16</v>
      </c>
      <c r="C251" t="s">
        <v>61</v>
      </c>
      <c r="D251" t="s">
        <v>1046</v>
      </c>
      <c r="E251" t="s">
        <v>1047</v>
      </c>
      <c r="F251" t="s">
        <v>884</v>
      </c>
      <c r="G251" t="s">
        <v>234</v>
      </c>
      <c r="H251" t="s">
        <v>41</v>
      </c>
      <c r="I251" t="s">
        <v>61</v>
      </c>
      <c r="J251" t="s">
        <v>58</v>
      </c>
      <c r="K251" t="s">
        <v>965</v>
      </c>
      <c r="L251" t="s">
        <v>1048</v>
      </c>
      <c r="M251" t="s">
        <v>1049</v>
      </c>
      <c r="O251">
        <v>200940.5</v>
      </c>
    </row>
    <row r="252" spans="1:15" x14ac:dyDescent="0.35">
      <c r="A252" t="s">
        <v>15</v>
      </c>
      <c r="B252" t="s">
        <v>99</v>
      </c>
      <c r="C252" t="s">
        <v>17</v>
      </c>
      <c r="D252" t="s">
        <v>1050</v>
      </c>
      <c r="E252" t="s">
        <v>1051</v>
      </c>
      <c r="F252" t="s">
        <v>39</v>
      </c>
      <c r="G252" t="s">
        <v>1052</v>
      </c>
      <c r="H252" t="s">
        <v>115</v>
      </c>
      <c r="I252" t="s">
        <v>61</v>
      </c>
      <c r="J252" s="1">
        <v>4104</v>
      </c>
      <c r="K252" t="s">
        <v>73</v>
      </c>
      <c r="L252" t="s">
        <v>1053</v>
      </c>
      <c r="M252" t="s">
        <v>1054</v>
      </c>
      <c r="O252">
        <v>97734</v>
      </c>
    </row>
    <row r="253" spans="1:15" x14ac:dyDescent="0.35">
      <c r="A253" t="s">
        <v>15</v>
      </c>
      <c r="B253" t="s">
        <v>16</v>
      </c>
      <c r="C253" t="s">
        <v>36</v>
      </c>
      <c r="D253" t="s">
        <v>1055</v>
      </c>
      <c r="E253" t="s">
        <v>1056</v>
      </c>
      <c r="F253" t="s">
        <v>513</v>
      </c>
      <c r="G253" t="s">
        <v>86</v>
      </c>
      <c r="H253" t="s">
        <v>57</v>
      </c>
      <c r="I253" t="s">
        <v>58</v>
      </c>
      <c r="J253" s="1">
        <v>45070</v>
      </c>
      <c r="K253" t="s">
        <v>58</v>
      </c>
      <c r="L253" t="s">
        <v>1057</v>
      </c>
      <c r="M253" t="s">
        <v>172</v>
      </c>
      <c r="N253">
        <v>22</v>
      </c>
      <c r="O253">
        <v>109600</v>
      </c>
    </row>
    <row r="254" spans="1:15" x14ac:dyDescent="0.35">
      <c r="A254" t="s">
        <v>15</v>
      </c>
      <c r="B254" t="s">
        <v>16</v>
      </c>
      <c r="C254" t="s">
        <v>17</v>
      </c>
      <c r="D254" t="s">
        <v>807</v>
      </c>
      <c r="E254" t="s">
        <v>776</v>
      </c>
      <c r="F254" t="s">
        <v>244</v>
      </c>
      <c r="G254" t="s">
        <v>65</v>
      </c>
      <c r="H254" t="s">
        <v>41</v>
      </c>
      <c r="I254" t="s">
        <v>58</v>
      </c>
      <c r="J254">
        <v>750</v>
      </c>
      <c r="K254" t="s">
        <v>58</v>
      </c>
      <c r="L254" t="s">
        <v>1058</v>
      </c>
      <c r="M254" t="s">
        <v>118</v>
      </c>
      <c r="N254">
        <v>2</v>
      </c>
      <c r="O254">
        <v>153605.5</v>
      </c>
    </row>
    <row r="255" spans="1:15" x14ac:dyDescent="0.35">
      <c r="A255" t="s">
        <v>15</v>
      </c>
      <c r="B255" t="s">
        <v>69</v>
      </c>
      <c r="C255" t="s">
        <v>36</v>
      </c>
      <c r="D255" t="s">
        <v>1059</v>
      </c>
      <c r="E255" t="s">
        <v>248</v>
      </c>
      <c r="F255" t="s">
        <v>196</v>
      </c>
      <c r="G255" t="s">
        <v>249</v>
      </c>
      <c r="H255" t="s">
        <v>41</v>
      </c>
      <c r="I255" t="s">
        <v>58</v>
      </c>
      <c r="J255" s="1">
        <v>1050</v>
      </c>
      <c r="K255" t="s">
        <v>58</v>
      </c>
      <c r="L255" t="s">
        <v>1060</v>
      </c>
      <c r="M255" t="s">
        <v>1061</v>
      </c>
      <c r="N255">
        <v>7</v>
      </c>
      <c r="O255">
        <v>95450.5</v>
      </c>
    </row>
    <row r="256" spans="1:15" x14ac:dyDescent="0.35">
      <c r="A256" t="s">
        <v>15</v>
      </c>
      <c r="B256" t="s">
        <v>16</v>
      </c>
      <c r="C256" t="s">
        <v>82</v>
      </c>
      <c r="D256" t="s">
        <v>1062</v>
      </c>
      <c r="E256" t="s">
        <v>243</v>
      </c>
      <c r="F256" t="s">
        <v>125</v>
      </c>
      <c r="G256" t="s">
        <v>764</v>
      </c>
      <c r="H256" t="s">
        <v>41</v>
      </c>
      <c r="I256" t="s">
        <v>58</v>
      </c>
      <c r="J256">
        <v>550</v>
      </c>
      <c r="K256" t="s">
        <v>58</v>
      </c>
      <c r="L256" t="s">
        <v>1063</v>
      </c>
      <c r="M256" t="s">
        <v>1064</v>
      </c>
      <c r="N256">
        <v>14</v>
      </c>
      <c r="O256">
        <v>146135.5</v>
      </c>
    </row>
    <row r="257" spans="1:15" x14ac:dyDescent="0.35">
      <c r="A257" t="s">
        <v>15</v>
      </c>
      <c r="B257" t="s">
        <v>16</v>
      </c>
      <c r="C257" t="s">
        <v>61</v>
      </c>
      <c r="D257" t="s">
        <v>1065</v>
      </c>
      <c r="E257" t="s">
        <v>128</v>
      </c>
      <c r="F257" t="s">
        <v>39</v>
      </c>
      <c r="G257" t="s">
        <v>48</v>
      </c>
      <c r="H257" t="s">
        <v>41</v>
      </c>
      <c r="I257" t="s">
        <v>58</v>
      </c>
      <c r="J257" s="1">
        <v>1800</v>
      </c>
      <c r="K257" t="s">
        <v>58</v>
      </c>
      <c r="L257" t="s">
        <v>1066</v>
      </c>
      <c r="M257" t="s">
        <v>1067</v>
      </c>
      <c r="O257">
        <v>19988</v>
      </c>
    </row>
    <row r="258" spans="1:15" x14ac:dyDescent="0.35">
      <c r="A258" t="s">
        <v>15</v>
      </c>
      <c r="B258" t="s">
        <v>16</v>
      </c>
      <c r="C258" t="s">
        <v>17</v>
      </c>
      <c r="D258" t="s">
        <v>1068</v>
      </c>
      <c r="E258" t="s">
        <v>296</v>
      </c>
      <c r="F258" t="s">
        <v>196</v>
      </c>
      <c r="G258" t="s">
        <v>594</v>
      </c>
      <c r="H258" t="s">
        <v>57</v>
      </c>
      <c r="I258" t="s">
        <v>23</v>
      </c>
      <c r="J258" s="1">
        <v>29480</v>
      </c>
      <c r="K258" t="s">
        <v>23</v>
      </c>
      <c r="L258" t="s">
        <v>1069</v>
      </c>
      <c r="M258" t="s">
        <v>200</v>
      </c>
      <c r="N258">
        <v>7</v>
      </c>
      <c r="O258">
        <v>73457</v>
      </c>
    </row>
    <row r="259" spans="1:15" x14ac:dyDescent="0.35">
      <c r="A259" t="s">
        <v>15</v>
      </c>
      <c r="B259" t="s">
        <v>16</v>
      </c>
      <c r="C259" t="s">
        <v>61</v>
      </c>
      <c r="D259" t="s">
        <v>1070</v>
      </c>
      <c r="E259" t="s">
        <v>1071</v>
      </c>
      <c r="F259" t="s">
        <v>203</v>
      </c>
      <c r="G259" t="s">
        <v>86</v>
      </c>
      <c r="H259" t="s">
        <v>115</v>
      </c>
      <c r="I259" t="s">
        <v>61</v>
      </c>
      <c r="J259" s="1">
        <v>4310</v>
      </c>
      <c r="K259" t="s">
        <v>960</v>
      </c>
      <c r="L259" t="s">
        <v>1072</v>
      </c>
      <c r="M259" t="s">
        <v>206</v>
      </c>
      <c r="N259">
        <v>25</v>
      </c>
      <c r="O259">
        <v>155827</v>
      </c>
    </row>
    <row r="260" spans="1:15" x14ac:dyDescent="0.35">
      <c r="A260" t="s">
        <v>15</v>
      </c>
      <c r="B260" t="s">
        <v>69</v>
      </c>
      <c r="C260" t="s">
        <v>17</v>
      </c>
      <c r="D260" t="s">
        <v>1073</v>
      </c>
      <c r="E260" t="s">
        <v>1074</v>
      </c>
      <c r="F260" t="s">
        <v>55</v>
      </c>
      <c r="G260" t="s">
        <v>1075</v>
      </c>
      <c r="H260" t="s">
        <v>41</v>
      </c>
      <c r="I260" t="s">
        <v>23</v>
      </c>
      <c r="J260" s="1">
        <v>83550</v>
      </c>
      <c r="K260" t="s">
        <v>23</v>
      </c>
      <c r="L260" t="s">
        <v>1076</v>
      </c>
      <c r="M260" t="s">
        <v>118</v>
      </c>
      <c r="N260">
        <v>3</v>
      </c>
      <c r="O260">
        <v>110517.5</v>
      </c>
    </row>
    <row r="261" spans="1:15" x14ac:dyDescent="0.35">
      <c r="A261" t="s">
        <v>15</v>
      </c>
      <c r="B261" t="s">
        <v>99</v>
      </c>
      <c r="C261" t="s">
        <v>61</v>
      </c>
      <c r="D261" t="s">
        <v>645</v>
      </c>
      <c r="E261" t="s">
        <v>646</v>
      </c>
      <c r="F261" t="s">
        <v>341</v>
      </c>
      <c r="G261" t="s">
        <v>647</v>
      </c>
      <c r="H261" t="s">
        <v>57</v>
      </c>
      <c r="I261" t="s">
        <v>23</v>
      </c>
      <c r="J261" s="1">
        <v>30830</v>
      </c>
      <c r="K261" t="s">
        <v>23</v>
      </c>
      <c r="L261" t="s">
        <v>648</v>
      </c>
      <c r="M261" t="s">
        <v>1077</v>
      </c>
      <c r="N261">
        <v>2</v>
      </c>
      <c r="O261">
        <v>67044</v>
      </c>
    </row>
    <row r="262" spans="1:15" x14ac:dyDescent="0.35">
      <c r="A262" t="s">
        <v>15</v>
      </c>
      <c r="B262" t="s">
        <v>27</v>
      </c>
      <c r="C262" t="s">
        <v>17</v>
      </c>
      <c r="D262" t="s">
        <v>1078</v>
      </c>
      <c r="E262" t="s">
        <v>1079</v>
      </c>
      <c r="F262" t="s">
        <v>312</v>
      </c>
      <c r="G262" t="s">
        <v>65</v>
      </c>
      <c r="H262" t="s">
        <v>57</v>
      </c>
      <c r="I262" t="s">
        <v>23</v>
      </c>
      <c r="J262" s="1">
        <v>51750</v>
      </c>
      <c r="K262" t="s">
        <v>23</v>
      </c>
      <c r="L262" t="s">
        <v>1080</v>
      </c>
      <c r="M262" t="s">
        <v>1081</v>
      </c>
      <c r="N262">
        <v>4</v>
      </c>
      <c r="O262">
        <v>109606</v>
      </c>
    </row>
    <row r="263" spans="1:15" x14ac:dyDescent="0.35">
      <c r="A263" t="s">
        <v>15</v>
      </c>
      <c r="B263" t="s">
        <v>16</v>
      </c>
      <c r="C263" t="s">
        <v>17</v>
      </c>
      <c r="D263" t="s">
        <v>1082</v>
      </c>
      <c r="E263" t="s">
        <v>1083</v>
      </c>
      <c r="F263" t="s">
        <v>292</v>
      </c>
      <c r="G263" t="s">
        <v>588</v>
      </c>
      <c r="H263" t="s">
        <v>41</v>
      </c>
      <c r="I263" t="s">
        <v>58</v>
      </c>
      <c r="J263">
        <v>75</v>
      </c>
      <c r="K263" t="s">
        <v>58</v>
      </c>
      <c r="L263" t="s">
        <v>1084</v>
      </c>
      <c r="M263" t="s">
        <v>1085</v>
      </c>
      <c r="N263">
        <v>5</v>
      </c>
      <c r="O263">
        <v>7081.5</v>
      </c>
    </row>
    <row r="264" spans="1:15" x14ac:dyDescent="0.35">
      <c r="A264" t="s">
        <v>15</v>
      </c>
      <c r="B264" t="s">
        <v>99</v>
      </c>
      <c r="C264" t="s">
        <v>36</v>
      </c>
      <c r="D264" t="s">
        <v>1086</v>
      </c>
      <c r="E264" t="s">
        <v>1087</v>
      </c>
      <c r="F264" t="s">
        <v>125</v>
      </c>
      <c r="G264" t="s">
        <v>1088</v>
      </c>
      <c r="H264" t="s">
        <v>41</v>
      </c>
      <c r="I264" t="s">
        <v>58</v>
      </c>
      <c r="J264" s="1">
        <v>7070</v>
      </c>
      <c r="K264" t="s">
        <v>58</v>
      </c>
      <c r="L264" t="s">
        <v>1089</v>
      </c>
      <c r="M264" t="s">
        <v>60</v>
      </c>
      <c r="N264">
        <v>14</v>
      </c>
      <c r="O264">
        <v>34295.5</v>
      </c>
    </row>
    <row r="265" spans="1:15" x14ac:dyDescent="0.35">
      <c r="A265" t="s">
        <v>15</v>
      </c>
      <c r="B265" t="s">
        <v>16</v>
      </c>
      <c r="C265" t="s">
        <v>61</v>
      </c>
      <c r="D265" t="s">
        <v>1090</v>
      </c>
      <c r="E265" t="s">
        <v>1091</v>
      </c>
      <c r="F265" t="s">
        <v>341</v>
      </c>
      <c r="G265" t="s">
        <v>1092</v>
      </c>
      <c r="H265" t="s">
        <v>41</v>
      </c>
      <c r="I265" t="s">
        <v>58</v>
      </c>
      <c r="J265">
        <v>90</v>
      </c>
      <c r="K265" t="s">
        <v>58</v>
      </c>
      <c r="L265" t="s">
        <v>1093</v>
      </c>
      <c r="M265" t="s">
        <v>35</v>
      </c>
      <c r="N265">
        <v>2</v>
      </c>
      <c r="O265">
        <v>164400.5</v>
      </c>
    </row>
    <row r="266" spans="1:15" x14ac:dyDescent="0.35">
      <c r="A266" t="s">
        <v>15</v>
      </c>
      <c r="B266" t="s">
        <v>52</v>
      </c>
      <c r="C266" t="s">
        <v>82</v>
      </c>
      <c r="D266" t="s">
        <v>1094</v>
      </c>
      <c r="E266" t="s">
        <v>84</v>
      </c>
      <c r="F266" t="s">
        <v>341</v>
      </c>
      <c r="G266" t="s">
        <v>249</v>
      </c>
      <c r="H266" t="s">
        <v>41</v>
      </c>
      <c r="I266" t="s">
        <v>58</v>
      </c>
      <c r="J266">
        <v>126</v>
      </c>
      <c r="K266" t="s">
        <v>58</v>
      </c>
      <c r="L266" t="s">
        <v>1095</v>
      </c>
      <c r="M266" t="s">
        <v>60</v>
      </c>
      <c r="N266">
        <v>2</v>
      </c>
      <c r="O266">
        <v>134723.5</v>
      </c>
    </row>
    <row r="267" spans="1:15" x14ac:dyDescent="0.35">
      <c r="A267" t="s">
        <v>15</v>
      </c>
      <c r="B267" t="s">
        <v>27</v>
      </c>
      <c r="C267" t="s">
        <v>82</v>
      </c>
      <c r="D267" t="s">
        <v>1096</v>
      </c>
      <c r="E267" t="s">
        <v>84</v>
      </c>
      <c r="F267" t="s">
        <v>196</v>
      </c>
      <c r="G267" t="s">
        <v>1097</v>
      </c>
      <c r="H267" t="s">
        <v>41</v>
      </c>
      <c r="I267" t="s">
        <v>58</v>
      </c>
      <c r="J267">
        <v>750</v>
      </c>
      <c r="K267" t="s">
        <v>58</v>
      </c>
      <c r="L267" t="s">
        <v>1098</v>
      </c>
      <c r="M267" t="s">
        <v>60</v>
      </c>
      <c r="N267">
        <v>7</v>
      </c>
      <c r="O267">
        <v>255738</v>
      </c>
    </row>
    <row r="268" spans="1:15" x14ac:dyDescent="0.35">
      <c r="A268" t="s">
        <v>15</v>
      </c>
      <c r="B268" t="s">
        <v>16</v>
      </c>
      <c r="C268" t="s">
        <v>61</v>
      </c>
      <c r="D268" t="s">
        <v>1099</v>
      </c>
      <c r="E268" t="s">
        <v>1100</v>
      </c>
      <c r="F268" t="s">
        <v>139</v>
      </c>
      <c r="G268" t="s">
        <v>90</v>
      </c>
      <c r="H268" t="s">
        <v>41</v>
      </c>
      <c r="I268" t="s">
        <v>58</v>
      </c>
      <c r="J268">
        <v>524</v>
      </c>
      <c r="K268" t="s">
        <v>58</v>
      </c>
      <c r="L268" t="s">
        <v>1101</v>
      </c>
      <c r="M268" t="s">
        <v>1102</v>
      </c>
      <c r="N268">
        <v>13</v>
      </c>
      <c r="O268">
        <v>134724.5</v>
      </c>
    </row>
    <row r="269" spans="1:15" x14ac:dyDescent="0.35">
      <c r="A269" t="s">
        <v>15</v>
      </c>
      <c r="B269" t="s">
        <v>16</v>
      </c>
      <c r="C269" t="s">
        <v>82</v>
      </c>
      <c r="D269" t="s">
        <v>1103</v>
      </c>
      <c r="E269" t="s">
        <v>768</v>
      </c>
      <c r="F269" t="s">
        <v>64</v>
      </c>
      <c r="G269" t="s">
        <v>229</v>
      </c>
      <c r="H269" t="s">
        <v>115</v>
      </c>
      <c r="I269" t="s">
        <v>23</v>
      </c>
      <c r="J269" s="1">
        <v>6470</v>
      </c>
      <c r="K269" t="s">
        <v>23</v>
      </c>
      <c r="L269" t="s">
        <v>1104</v>
      </c>
      <c r="M269" t="s">
        <v>1105</v>
      </c>
      <c r="N269">
        <v>3</v>
      </c>
      <c r="O269">
        <v>109925.5</v>
      </c>
    </row>
    <row r="270" spans="1:15" x14ac:dyDescent="0.35">
      <c r="A270" t="s">
        <v>15</v>
      </c>
      <c r="B270" t="s">
        <v>16</v>
      </c>
      <c r="C270" t="s">
        <v>36</v>
      </c>
      <c r="D270" t="s">
        <v>1106</v>
      </c>
      <c r="E270" t="s">
        <v>398</v>
      </c>
      <c r="F270" t="s">
        <v>312</v>
      </c>
      <c r="G270" t="s">
        <v>801</v>
      </c>
      <c r="H270" t="s">
        <v>41</v>
      </c>
      <c r="I270" t="s">
        <v>58</v>
      </c>
      <c r="J270" s="1">
        <v>8520</v>
      </c>
      <c r="K270" t="s">
        <v>58</v>
      </c>
      <c r="L270" t="s">
        <v>1107</v>
      </c>
      <c r="M270" t="s">
        <v>1108</v>
      </c>
      <c r="N270">
        <v>4</v>
      </c>
      <c r="O270">
        <v>102482</v>
      </c>
    </row>
    <row r="271" spans="1:15" x14ac:dyDescent="0.35">
      <c r="A271" t="s">
        <v>15</v>
      </c>
      <c r="B271" t="s">
        <v>16</v>
      </c>
      <c r="C271" t="s">
        <v>61</v>
      </c>
      <c r="D271" t="s">
        <v>1109</v>
      </c>
      <c r="E271" t="s">
        <v>1110</v>
      </c>
      <c r="F271" t="s">
        <v>196</v>
      </c>
      <c r="G271" t="s">
        <v>1111</v>
      </c>
      <c r="H271" t="s">
        <v>115</v>
      </c>
      <c r="I271" t="s">
        <v>23</v>
      </c>
      <c r="J271" s="1">
        <v>55215</v>
      </c>
      <c r="K271" t="s">
        <v>23</v>
      </c>
      <c r="L271" t="s">
        <v>1112</v>
      </c>
      <c r="M271" t="s">
        <v>1113</v>
      </c>
      <c r="N271">
        <v>7</v>
      </c>
      <c r="O271">
        <v>131088</v>
      </c>
    </row>
    <row r="272" spans="1:15" x14ac:dyDescent="0.35">
      <c r="A272" t="s">
        <v>75</v>
      </c>
      <c r="B272" t="s">
        <v>52</v>
      </c>
      <c r="C272" t="s">
        <v>17</v>
      </c>
      <c r="D272" t="s">
        <v>1114</v>
      </c>
      <c r="E272" t="s">
        <v>258</v>
      </c>
      <c r="F272" t="s">
        <v>856</v>
      </c>
      <c r="G272" t="s">
        <v>65</v>
      </c>
      <c r="H272" t="s">
        <v>41</v>
      </c>
      <c r="I272" t="s">
        <v>58</v>
      </c>
      <c r="J272">
        <v>180</v>
      </c>
      <c r="K272" t="s">
        <v>58</v>
      </c>
      <c r="L272" t="s">
        <v>1115</v>
      </c>
      <c r="M272" t="s">
        <v>60</v>
      </c>
      <c r="N272">
        <v>23</v>
      </c>
      <c r="O272">
        <v>200935.5</v>
      </c>
    </row>
    <row r="273" spans="1:15" x14ac:dyDescent="0.35">
      <c r="A273" t="s">
        <v>15</v>
      </c>
      <c r="B273" t="s">
        <v>16</v>
      </c>
      <c r="C273" t="s">
        <v>82</v>
      </c>
      <c r="D273" t="s">
        <v>1116</v>
      </c>
      <c r="E273" t="s">
        <v>84</v>
      </c>
      <c r="F273" t="s">
        <v>47</v>
      </c>
      <c r="G273" t="s">
        <v>249</v>
      </c>
      <c r="H273" t="s">
        <v>41</v>
      </c>
      <c r="I273" t="s">
        <v>58</v>
      </c>
      <c r="J273">
        <v>45</v>
      </c>
      <c r="K273" t="s">
        <v>58</v>
      </c>
      <c r="L273" t="s">
        <v>1117</v>
      </c>
      <c r="M273" t="s">
        <v>60</v>
      </c>
      <c r="N273">
        <v>8</v>
      </c>
      <c r="O273">
        <v>118741</v>
      </c>
    </row>
    <row r="274" spans="1:15" x14ac:dyDescent="0.35">
      <c r="A274" t="s">
        <v>15</v>
      </c>
      <c r="B274" t="s">
        <v>27</v>
      </c>
      <c r="C274" t="s">
        <v>17</v>
      </c>
      <c r="D274" t="s">
        <v>1118</v>
      </c>
      <c r="E274" t="s">
        <v>1119</v>
      </c>
      <c r="F274" t="s">
        <v>237</v>
      </c>
      <c r="G274" t="s">
        <v>1120</v>
      </c>
      <c r="H274" t="s">
        <v>57</v>
      </c>
      <c r="I274" t="s">
        <v>58</v>
      </c>
      <c r="J274" s="1">
        <v>55070</v>
      </c>
      <c r="K274" t="s">
        <v>58</v>
      </c>
      <c r="L274" t="s">
        <v>1121</v>
      </c>
      <c r="M274" t="s">
        <v>1122</v>
      </c>
      <c r="N274">
        <v>20</v>
      </c>
      <c r="O274">
        <v>118736.5</v>
      </c>
    </row>
    <row r="275" spans="1:15" x14ac:dyDescent="0.35">
      <c r="A275" t="s">
        <v>15</v>
      </c>
      <c r="B275" t="s">
        <v>16</v>
      </c>
      <c r="C275" t="s">
        <v>36</v>
      </c>
      <c r="D275" t="s">
        <v>1123</v>
      </c>
      <c r="E275" t="s">
        <v>1124</v>
      </c>
      <c r="F275" t="s">
        <v>30</v>
      </c>
      <c r="G275" t="s">
        <v>1125</v>
      </c>
      <c r="H275" t="s">
        <v>115</v>
      </c>
      <c r="I275" t="s">
        <v>23</v>
      </c>
      <c r="J275" s="1">
        <v>35050</v>
      </c>
      <c r="K275" t="s">
        <v>23</v>
      </c>
      <c r="L275" t="s">
        <v>1126</v>
      </c>
      <c r="M275" t="s">
        <v>1127</v>
      </c>
      <c r="N275">
        <v>15</v>
      </c>
      <c r="O275">
        <v>170659</v>
      </c>
    </row>
    <row r="276" spans="1:15" x14ac:dyDescent="0.35">
      <c r="A276" t="s">
        <v>75</v>
      </c>
      <c r="B276" t="s">
        <v>16</v>
      </c>
      <c r="C276" t="s">
        <v>17</v>
      </c>
      <c r="D276" t="s">
        <v>1128</v>
      </c>
      <c r="E276" t="s">
        <v>1129</v>
      </c>
      <c r="F276" t="s">
        <v>196</v>
      </c>
      <c r="G276" t="s">
        <v>40</v>
      </c>
      <c r="H276" t="s">
        <v>22</v>
      </c>
      <c r="I276" t="s">
        <v>23</v>
      </c>
      <c r="J276" s="1">
        <v>2010</v>
      </c>
      <c r="K276" t="s">
        <v>23</v>
      </c>
      <c r="L276" t="s">
        <v>1130</v>
      </c>
      <c r="M276" t="s">
        <v>1131</v>
      </c>
      <c r="N276">
        <v>7</v>
      </c>
      <c r="O276">
        <v>208740.5</v>
      </c>
    </row>
    <row r="277" spans="1:15" x14ac:dyDescent="0.35">
      <c r="A277" t="s">
        <v>15</v>
      </c>
      <c r="B277" t="s">
        <v>16</v>
      </c>
      <c r="C277" t="s">
        <v>17</v>
      </c>
      <c r="D277" t="s">
        <v>1132</v>
      </c>
      <c r="E277" t="s">
        <v>1133</v>
      </c>
      <c r="F277" t="s">
        <v>64</v>
      </c>
      <c r="G277" t="s">
        <v>1134</v>
      </c>
      <c r="H277" t="s">
        <v>41</v>
      </c>
      <c r="I277" t="s">
        <v>58</v>
      </c>
      <c r="J277">
        <v>600</v>
      </c>
      <c r="K277" t="s">
        <v>58</v>
      </c>
      <c r="L277" t="s">
        <v>1135</v>
      </c>
      <c r="M277" t="s">
        <v>1136</v>
      </c>
      <c r="N277">
        <v>3</v>
      </c>
      <c r="O277">
        <v>239749</v>
      </c>
    </row>
    <row r="278" spans="1:15" x14ac:dyDescent="0.35">
      <c r="A278" t="s">
        <v>15</v>
      </c>
      <c r="B278" t="s">
        <v>16</v>
      </c>
      <c r="C278" t="s">
        <v>36</v>
      </c>
      <c r="D278" t="s">
        <v>1137</v>
      </c>
      <c r="E278" t="s">
        <v>128</v>
      </c>
      <c r="F278" t="s">
        <v>244</v>
      </c>
      <c r="G278" t="s">
        <v>102</v>
      </c>
      <c r="H278" t="s">
        <v>41</v>
      </c>
      <c r="I278" t="s">
        <v>58</v>
      </c>
      <c r="J278" s="1">
        <v>1310</v>
      </c>
      <c r="K278" t="s">
        <v>58</v>
      </c>
      <c r="L278" t="s">
        <v>1138</v>
      </c>
      <c r="M278" t="s">
        <v>1139</v>
      </c>
      <c r="N278">
        <v>2</v>
      </c>
      <c r="O278">
        <v>15667</v>
      </c>
    </row>
    <row r="279" spans="1:15" x14ac:dyDescent="0.35">
      <c r="A279" t="s">
        <v>15</v>
      </c>
      <c r="B279" t="s">
        <v>52</v>
      </c>
      <c r="C279" t="s">
        <v>82</v>
      </c>
      <c r="D279" t="s">
        <v>83</v>
      </c>
      <c r="E279" t="s">
        <v>84</v>
      </c>
      <c r="F279" t="s">
        <v>39</v>
      </c>
      <c r="G279" t="s">
        <v>86</v>
      </c>
      <c r="H279" t="s">
        <v>41</v>
      </c>
      <c r="I279" t="s">
        <v>58</v>
      </c>
      <c r="J279">
        <v>126</v>
      </c>
      <c r="K279" t="s">
        <v>58</v>
      </c>
      <c r="L279" t="s">
        <v>1140</v>
      </c>
      <c r="M279" t="s">
        <v>60</v>
      </c>
      <c r="O279">
        <v>155272</v>
      </c>
    </row>
    <row r="280" spans="1:15" x14ac:dyDescent="0.35">
      <c r="A280" t="s">
        <v>15</v>
      </c>
      <c r="B280" t="s">
        <v>27</v>
      </c>
      <c r="C280" t="s">
        <v>36</v>
      </c>
      <c r="D280" t="s">
        <v>1141</v>
      </c>
      <c r="E280" t="s">
        <v>1142</v>
      </c>
      <c r="F280" t="s">
        <v>196</v>
      </c>
      <c r="G280" t="s">
        <v>86</v>
      </c>
      <c r="H280" t="s">
        <v>57</v>
      </c>
      <c r="I280" t="s">
        <v>23</v>
      </c>
      <c r="J280" s="1">
        <v>3040</v>
      </c>
      <c r="K280" t="s">
        <v>23</v>
      </c>
      <c r="L280" t="s">
        <v>1143</v>
      </c>
      <c r="M280" t="s">
        <v>118</v>
      </c>
      <c r="N280">
        <v>7</v>
      </c>
      <c r="O280">
        <v>141571</v>
      </c>
    </row>
    <row r="281" spans="1:15" x14ac:dyDescent="0.35">
      <c r="A281" t="s">
        <v>15</v>
      </c>
      <c r="B281" t="s">
        <v>16</v>
      </c>
      <c r="C281" t="s">
        <v>17</v>
      </c>
      <c r="D281" t="s">
        <v>1144</v>
      </c>
      <c r="E281" t="s">
        <v>928</v>
      </c>
      <c r="F281" t="s">
        <v>1145</v>
      </c>
      <c r="G281" t="s">
        <v>86</v>
      </c>
      <c r="H281" t="s">
        <v>57</v>
      </c>
      <c r="I281" t="s">
        <v>58</v>
      </c>
      <c r="J281" s="1">
        <v>60640</v>
      </c>
      <c r="K281" t="s">
        <v>58</v>
      </c>
      <c r="L281" t="s">
        <v>1146</v>
      </c>
      <c r="M281" t="s">
        <v>1147</v>
      </c>
      <c r="N281">
        <v>16</v>
      </c>
      <c r="O281">
        <v>134721.5</v>
      </c>
    </row>
    <row r="282" spans="1:15" x14ac:dyDescent="0.35">
      <c r="A282" t="s">
        <v>15</v>
      </c>
      <c r="B282" t="s">
        <v>27</v>
      </c>
      <c r="C282" t="s">
        <v>82</v>
      </c>
      <c r="D282" t="s">
        <v>406</v>
      </c>
      <c r="E282" t="s">
        <v>1148</v>
      </c>
      <c r="F282" t="s">
        <v>1149</v>
      </c>
      <c r="G282" t="s">
        <v>229</v>
      </c>
      <c r="H282" t="s">
        <v>41</v>
      </c>
      <c r="I282" t="s">
        <v>23</v>
      </c>
      <c r="J282" s="1">
        <v>2570</v>
      </c>
      <c r="K282" t="s">
        <v>23</v>
      </c>
      <c r="L282" t="s">
        <v>1150</v>
      </c>
      <c r="M282" t="s">
        <v>409</v>
      </c>
      <c r="N282">
        <v>18</v>
      </c>
      <c r="O282">
        <v>164401.5</v>
      </c>
    </row>
    <row r="283" spans="1:15" x14ac:dyDescent="0.35">
      <c r="A283" t="s">
        <v>15</v>
      </c>
      <c r="B283" t="s">
        <v>16</v>
      </c>
      <c r="C283" t="s">
        <v>82</v>
      </c>
      <c r="D283" t="s">
        <v>1151</v>
      </c>
      <c r="E283" t="s">
        <v>84</v>
      </c>
      <c r="F283" t="s">
        <v>39</v>
      </c>
      <c r="G283" t="s">
        <v>514</v>
      </c>
      <c r="H283" t="s">
        <v>41</v>
      </c>
      <c r="I283" t="s">
        <v>58</v>
      </c>
      <c r="J283">
        <v>300</v>
      </c>
      <c r="K283" t="s">
        <v>58</v>
      </c>
      <c r="L283" t="s">
        <v>1152</v>
      </c>
      <c r="M283" t="s">
        <v>60</v>
      </c>
      <c r="O283">
        <v>180391</v>
      </c>
    </row>
    <row r="284" spans="1:15" x14ac:dyDescent="0.35">
      <c r="A284" t="s">
        <v>15</v>
      </c>
      <c r="B284" t="s">
        <v>16</v>
      </c>
      <c r="C284" t="s">
        <v>36</v>
      </c>
      <c r="D284" t="s">
        <v>1153</v>
      </c>
      <c r="E284" t="s">
        <v>1154</v>
      </c>
      <c r="F284" t="s">
        <v>39</v>
      </c>
      <c r="G284" t="s">
        <v>1155</v>
      </c>
      <c r="H284" t="s">
        <v>57</v>
      </c>
      <c r="I284" t="s">
        <v>23</v>
      </c>
      <c r="J284" s="1">
        <v>18030</v>
      </c>
      <c r="K284" t="s">
        <v>23</v>
      </c>
      <c r="L284" t="s">
        <v>1156</v>
      </c>
      <c r="M284" t="s">
        <v>51</v>
      </c>
      <c r="O284">
        <v>121021.5</v>
      </c>
    </row>
    <row r="285" spans="1:15" x14ac:dyDescent="0.35">
      <c r="A285" t="s">
        <v>15</v>
      </c>
      <c r="B285" t="s">
        <v>16</v>
      </c>
      <c r="C285" t="s">
        <v>82</v>
      </c>
      <c r="D285" t="s">
        <v>1157</v>
      </c>
      <c r="E285" t="s">
        <v>84</v>
      </c>
      <c r="F285" t="s">
        <v>55</v>
      </c>
      <c r="G285" t="s">
        <v>90</v>
      </c>
      <c r="H285" t="s">
        <v>41</v>
      </c>
      <c r="I285" t="s">
        <v>58</v>
      </c>
      <c r="J285">
        <v>45</v>
      </c>
      <c r="K285" t="s">
        <v>58</v>
      </c>
      <c r="L285" t="s">
        <v>1158</v>
      </c>
      <c r="M285" t="s">
        <v>60</v>
      </c>
      <c r="N285">
        <v>3</v>
      </c>
      <c r="O285">
        <v>166685.5</v>
      </c>
    </row>
    <row r="286" spans="1:15" x14ac:dyDescent="0.35">
      <c r="A286" t="s">
        <v>15</v>
      </c>
      <c r="B286" t="s">
        <v>99</v>
      </c>
      <c r="C286" t="s">
        <v>36</v>
      </c>
      <c r="D286" t="s">
        <v>1159</v>
      </c>
      <c r="E286" t="s">
        <v>618</v>
      </c>
      <c r="F286" t="s">
        <v>399</v>
      </c>
      <c r="G286" t="s">
        <v>1160</v>
      </c>
      <c r="H286" t="s">
        <v>41</v>
      </c>
      <c r="I286" t="s">
        <v>58</v>
      </c>
      <c r="J286" s="1">
        <v>43933</v>
      </c>
      <c r="K286" t="s">
        <v>58</v>
      </c>
      <c r="L286" t="s">
        <v>1161</v>
      </c>
      <c r="M286" t="s">
        <v>60</v>
      </c>
      <c r="N286">
        <v>5</v>
      </c>
      <c r="O286">
        <v>74894.5</v>
      </c>
    </row>
    <row r="287" spans="1:15" x14ac:dyDescent="0.35">
      <c r="A287" t="s">
        <v>15</v>
      </c>
      <c r="B287" t="s">
        <v>16</v>
      </c>
      <c r="C287" t="s">
        <v>36</v>
      </c>
      <c r="D287" t="s">
        <v>1162</v>
      </c>
      <c r="E287" t="s">
        <v>796</v>
      </c>
      <c r="F287" t="s">
        <v>312</v>
      </c>
      <c r="G287" t="s">
        <v>797</v>
      </c>
      <c r="H287" t="s">
        <v>41</v>
      </c>
      <c r="I287" t="s">
        <v>58</v>
      </c>
      <c r="J287">
        <v>126</v>
      </c>
      <c r="K287" t="s">
        <v>58</v>
      </c>
      <c r="L287" t="s">
        <v>1163</v>
      </c>
      <c r="M287" t="s">
        <v>1164</v>
      </c>
      <c r="N287">
        <v>4</v>
      </c>
      <c r="O287">
        <v>166206</v>
      </c>
    </row>
    <row r="288" spans="1:15" x14ac:dyDescent="0.35">
      <c r="A288" t="s">
        <v>15</v>
      </c>
      <c r="B288" t="s">
        <v>99</v>
      </c>
      <c r="C288" t="s">
        <v>36</v>
      </c>
      <c r="D288" t="s">
        <v>1165</v>
      </c>
      <c r="E288" t="s">
        <v>1166</v>
      </c>
      <c r="F288" t="s">
        <v>1167</v>
      </c>
      <c r="G288" t="s">
        <v>1168</v>
      </c>
      <c r="H288" t="s">
        <v>73</v>
      </c>
      <c r="I288" t="s">
        <v>61</v>
      </c>
      <c r="J288" s="1">
        <v>39879</v>
      </c>
      <c r="K288" t="s">
        <v>73</v>
      </c>
      <c r="L288" t="s">
        <v>1169</v>
      </c>
      <c r="M288" t="s">
        <v>118</v>
      </c>
      <c r="N288">
        <v>10</v>
      </c>
      <c r="O288">
        <v>100472</v>
      </c>
    </row>
    <row r="289" spans="1:15" x14ac:dyDescent="0.35">
      <c r="A289" t="s">
        <v>15</v>
      </c>
      <c r="B289" t="s">
        <v>27</v>
      </c>
      <c r="C289" t="s">
        <v>36</v>
      </c>
      <c r="D289" t="s">
        <v>945</v>
      </c>
      <c r="E289" t="s">
        <v>1170</v>
      </c>
      <c r="F289" t="s">
        <v>39</v>
      </c>
      <c r="G289" t="s">
        <v>946</v>
      </c>
      <c r="H289" t="s">
        <v>57</v>
      </c>
      <c r="I289" t="s">
        <v>58</v>
      </c>
      <c r="J289" s="1">
        <v>1320</v>
      </c>
      <c r="K289" t="s">
        <v>58</v>
      </c>
      <c r="L289" t="s">
        <v>1171</v>
      </c>
      <c r="M289" t="s">
        <v>1172</v>
      </c>
      <c r="O289">
        <v>140478.5</v>
      </c>
    </row>
    <row r="290" spans="1:15" x14ac:dyDescent="0.35">
      <c r="A290" t="s">
        <v>15</v>
      </c>
      <c r="B290" t="s">
        <v>16</v>
      </c>
      <c r="C290" t="s">
        <v>17</v>
      </c>
      <c r="D290" t="s">
        <v>1082</v>
      </c>
      <c r="E290" t="s">
        <v>1173</v>
      </c>
      <c r="F290" t="s">
        <v>244</v>
      </c>
      <c r="G290" t="s">
        <v>588</v>
      </c>
      <c r="H290" t="s">
        <v>41</v>
      </c>
      <c r="I290" t="s">
        <v>58</v>
      </c>
      <c r="J290">
        <v>75</v>
      </c>
      <c r="K290" t="s">
        <v>58</v>
      </c>
      <c r="L290" t="s">
        <v>1174</v>
      </c>
      <c r="M290" t="s">
        <v>1085</v>
      </c>
      <c r="N290">
        <v>2</v>
      </c>
      <c r="O290">
        <v>7080.5</v>
      </c>
    </row>
    <row r="291" spans="1:15" x14ac:dyDescent="0.35">
      <c r="A291" t="s">
        <v>15</v>
      </c>
      <c r="B291" t="s">
        <v>16</v>
      </c>
      <c r="C291" t="s">
        <v>82</v>
      </c>
      <c r="D291" t="s">
        <v>1175</v>
      </c>
      <c r="E291" t="s">
        <v>243</v>
      </c>
      <c r="F291" t="s">
        <v>125</v>
      </c>
      <c r="G291" t="s">
        <v>1176</v>
      </c>
      <c r="H291" t="s">
        <v>115</v>
      </c>
      <c r="I291" t="s">
        <v>58</v>
      </c>
      <c r="J291">
        <v>490</v>
      </c>
      <c r="K291" t="s">
        <v>58</v>
      </c>
      <c r="L291" t="s">
        <v>1177</v>
      </c>
      <c r="M291" t="s">
        <v>1178</v>
      </c>
      <c r="N291">
        <v>14</v>
      </c>
      <c r="O291">
        <v>100469</v>
      </c>
    </row>
    <row r="292" spans="1:15" x14ac:dyDescent="0.35">
      <c r="A292" t="s">
        <v>75</v>
      </c>
      <c r="B292" t="s">
        <v>16</v>
      </c>
      <c r="C292" t="s">
        <v>82</v>
      </c>
      <c r="D292" t="s">
        <v>1179</v>
      </c>
      <c r="E292" t="s">
        <v>84</v>
      </c>
      <c r="F292" t="s">
        <v>39</v>
      </c>
      <c r="G292" t="s">
        <v>229</v>
      </c>
      <c r="H292" t="s">
        <v>41</v>
      </c>
      <c r="I292" t="s">
        <v>23</v>
      </c>
      <c r="J292">
        <v>990</v>
      </c>
      <c r="K292" t="s">
        <v>23</v>
      </c>
      <c r="L292" t="s">
        <v>1180</v>
      </c>
      <c r="M292" t="s">
        <v>60</v>
      </c>
      <c r="O292">
        <v>216925</v>
      </c>
    </row>
    <row r="293" spans="1:15" x14ac:dyDescent="0.35">
      <c r="A293" t="s">
        <v>15</v>
      </c>
      <c r="B293" t="s">
        <v>16</v>
      </c>
      <c r="C293" t="s">
        <v>17</v>
      </c>
      <c r="D293" t="s">
        <v>1181</v>
      </c>
      <c r="E293" t="s">
        <v>1182</v>
      </c>
      <c r="F293" t="s">
        <v>39</v>
      </c>
      <c r="G293" t="s">
        <v>1183</v>
      </c>
      <c r="H293" t="s">
        <v>115</v>
      </c>
      <c r="I293" t="s">
        <v>58</v>
      </c>
      <c r="J293">
        <v>45</v>
      </c>
      <c r="K293" t="s">
        <v>58</v>
      </c>
      <c r="L293" t="s">
        <v>1184</v>
      </c>
      <c r="M293" t="s">
        <v>60</v>
      </c>
      <c r="O293">
        <v>182667</v>
      </c>
    </row>
    <row r="294" spans="1:15" x14ac:dyDescent="0.35">
      <c r="A294" t="s">
        <v>15</v>
      </c>
      <c r="B294" t="s">
        <v>16</v>
      </c>
      <c r="C294" t="s">
        <v>17</v>
      </c>
      <c r="D294" t="s">
        <v>1185</v>
      </c>
      <c r="E294" t="s">
        <v>1186</v>
      </c>
      <c r="F294" t="s">
        <v>244</v>
      </c>
      <c r="G294" t="s">
        <v>229</v>
      </c>
      <c r="H294" t="s">
        <v>115</v>
      </c>
      <c r="I294" t="s">
        <v>58</v>
      </c>
      <c r="J294">
        <v>420</v>
      </c>
      <c r="K294" t="s">
        <v>58</v>
      </c>
      <c r="L294" t="s">
        <v>1187</v>
      </c>
      <c r="M294" t="s">
        <v>1188</v>
      </c>
      <c r="N294">
        <v>2</v>
      </c>
      <c r="O294">
        <v>109601</v>
      </c>
    </row>
    <row r="295" spans="1:15" x14ac:dyDescent="0.35">
      <c r="A295" t="s">
        <v>15</v>
      </c>
      <c r="B295" t="s">
        <v>16</v>
      </c>
      <c r="C295" t="s">
        <v>17</v>
      </c>
      <c r="D295" t="s">
        <v>389</v>
      </c>
      <c r="E295" t="s">
        <v>390</v>
      </c>
      <c r="F295" t="s">
        <v>89</v>
      </c>
      <c r="G295" t="s">
        <v>48</v>
      </c>
      <c r="H295" t="s">
        <v>41</v>
      </c>
      <c r="I295" t="s">
        <v>23</v>
      </c>
      <c r="J295" s="1">
        <v>2760</v>
      </c>
      <c r="K295" t="s">
        <v>23</v>
      </c>
      <c r="L295" t="s">
        <v>1189</v>
      </c>
      <c r="M295" t="s">
        <v>60</v>
      </c>
      <c r="O295">
        <v>200937</v>
      </c>
    </row>
    <row r="296" spans="1:15" x14ac:dyDescent="0.35">
      <c r="A296" t="s">
        <v>15</v>
      </c>
      <c r="B296" t="s">
        <v>16</v>
      </c>
      <c r="C296" t="s">
        <v>36</v>
      </c>
      <c r="D296" t="s">
        <v>1190</v>
      </c>
      <c r="E296" t="s">
        <v>248</v>
      </c>
      <c r="F296" t="s">
        <v>39</v>
      </c>
      <c r="G296" t="s">
        <v>249</v>
      </c>
      <c r="H296" t="s">
        <v>115</v>
      </c>
      <c r="I296" t="s">
        <v>23</v>
      </c>
      <c r="J296" s="1">
        <v>4040</v>
      </c>
      <c r="K296" t="s">
        <v>23</v>
      </c>
      <c r="L296" t="s">
        <v>1191</v>
      </c>
      <c r="M296" t="s">
        <v>1192</v>
      </c>
      <c r="O296">
        <v>172713.5</v>
      </c>
    </row>
    <row r="297" spans="1:15" x14ac:dyDescent="0.35">
      <c r="A297" t="s">
        <v>15</v>
      </c>
      <c r="B297" t="s">
        <v>27</v>
      </c>
      <c r="C297" t="s">
        <v>61</v>
      </c>
      <c r="D297" t="s">
        <v>1193</v>
      </c>
      <c r="E297" t="s">
        <v>1194</v>
      </c>
      <c r="F297" t="s">
        <v>196</v>
      </c>
      <c r="G297" t="s">
        <v>1195</v>
      </c>
      <c r="H297" t="s">
        <v>73</v>
      </c>
      <c r="I297" t="s">
        <v>61</v>
      </c>
      <c r="J297" s="1">
        <v>9030</v>
      </c>
      <c r="K297" t="s">
        <v>73</v>
      </c>
      <c r="L297" t="s">
        <v>1196</v>
      </c>
      <c r="M297" t="s">
        <v>110</v>
      </c>
      <c r="N297">
        <v>7</v>
      </c>
      <c r="O297">
        <v>182667</v>
      </c>
    </row>
    <row r="298" spans="1:15" x14ac:dyDescent="0.35">
      <c r="A298" t="s">
        <v>15</v>
      </c>
      <c r="B298" t="s">
        <v>99</v>
      </c>
      <c r="C298" t="s">
        <v>61</v>
      </c>
      <c r="D298" t="s">
        <v>1197</v>
      </c>
      <c r="E298" t="s">
        <v>318</v>
      </c>
      <c r="F298" t="s">
        <v>196</v>
      </c>
      <c r="G298" t="s">
        <v>594</v>
      </c>
      <c r="H298" t="s">
        <v>57</v>
      </c>
      <c r="I298" t="s">
        <v>23</v>
      </c>
      <c r="J298" s="1">
        <v>205350</v>
      </c>
      <c r="K298" t="s">
        <v>23</v>
      </c>
      <c r="L298" t="s">
        <v>1198</v>
      </c>
      <c r="M298" t="s">
        <v>1199</v>
      </c>
      <c r="N298">
        <v>7</v>
      </c>
      <c r="O298">
        <v>30455</v>
      </c>
    </row>
    <row r="299" spans="1:15" x14ac:dyDescent="0.35">
      <c r="A299" t="s">
        <v>15</v>
      </c>
      <c r="B299" t="s">
        <v>69</v>
      </c>
      <c r="C299" t="s">
        <v>61</v>
      </c>
      <c r="D299" t="s">
        <v>1200</v>
      </c>
      <c r="E299" t="s">
        <v>1201</v>
      </c>
      <c r="F299" t="s">
        <v>64</v>
      </c>
      <c r="G299" t="s">
        <v>647</v>
      </c>
      <c r="H299" t="s">
        <v>73</v>
      </c>
      <c r="I299" t="s">
        <v>61</v>
      </c>
      <c r="J299">
        <v>210</v>
      </c>
      <c r="K299" t="s">
        <v>73</v>
      </c>
      <c r="L299" t="s">
        <v>1202</v>
      </c>
      <c r="M299" t="s">
        <v>1203</v>
      </c>
      <c r="N299">
        <v>3</v>
      </c>
      <c r="O299">
        <v>54802</v>
      </c>
    </row>
    <row r="300" spans="1:15" x14ac:dyDescent="0.35">
      <c r="A300" t="s">
        <v>15</v>
      </c>
      <c r="B300" t="s">
        <v>99</v>
      </c>
      <c r="C300" t="s">
        <v>82</v>
      </c>
      <c r="D300" t="s">
        <v>1204</v>
      </c>
      <c r="E300" t="s">
        <v>1205</v>
      </c>
      <c r="F300" t="s">
        <v>196</v>
      </c>
      <c r="G300" t="s">
        <v>204</v>
      </c>
      <c r="H300" t="s">
        <v>115</v>
      </c>
      <c r="I300" t="s">
        <v>58</v>
      </c>
      <c r="J300" s="1">
        <v>3810</v>
      </c>
      <c r="K300" t="s">
        <v>58</v>
      </c>
      <c r="L300" t="s">
        <v>1206</v>
      </c>
      <c r="M300" t="s">
        <v>1207</v>
      </c>
      <c r="N300">
        <v>7</v>
      </c>
      <c r="O300">
        <v>98934.5</v>
      </c>
    </row>
    <row r="301" spans="1:15" x14ac:dyDescent="0.35">
      <c r="A301" t="s">
        <v>15</v>
      </c>
      <c r="B301" t="s">
        <v>16</v>
      </c>
      <c r="C301" t="s">
        <v>17</v>
      </c>
      <c r="D301" t="s">
        <v>1208</v>
      </c>
      <c r="E301" t="s">
        <v>1209</v>
      </c>
      <c r="F301" t="s">
        <v>1210</v>
      </c>
      <c r="G301" t="s">
        <v>1211</v>
      </c>
      <c r="H301" t="s">
        <v>115</v>
      </c>
      <c r="I301" t="s">
        <v>58</v>
      </c>
      <c r="J301">
        <v>683</v>
      </c>
      <c r="K301" t="s">
        <v>58</v>
      </c>
      <c r="L301" t="s">
        <v>1212</v>
      </c>
      <c r="M301" t="s">
        <v>60</v>
      </c>
      <c r="N301">
        <v>17</v>
      </c>
      <c r="O301">
        <v>127418</v>
      </c>
    </row>
    <row r="302" spans="1:15" x14ac:dyDescent="0.35">
      <c r="A302" t="s">
        <v>15</v>
      </c>
      <c r="B302" t="s">
        <v>16</v>
      </c>
      <c r="C302" t="s">
        <v>17</v>
      </c>
      <c r="D302" t="s">
        <v>1213</v>
      </c>
      <c r="E302" t="s">
        <v>1214</v>
      </c>
      <c r="F302" t="s">
        <v>39</v>
      </c>
      <c r="G302" t="s">
        <v>1215</v>
      </c>
      <c r="H302" t="s">
        <v>41</v>
      </c>
      <c r="I302" t="s">
        <v>58</v>
      </c>
      <c r="J302" s="1">
        <v>8350</v>
      </c>
      <c r="K302" t="s">
        <v>58</v>
      </c>
      <c r="L302" t="s">
        <v>1216</v>
      </c>
      <c r="M302" t="s">
        <v>1217</v>
      </c>
      <c r="O302">
        <v>102845.5</v>
      </c>
    </row>
    <row r="303" spans="1:15" x14ac:dyDescent="0.35">
      <c r="A303" t="s">
        <v>15</v>
      </c>
      <c r="B303" t="s">
        <v>27</v>
      </c>
      <c r="C303" t="s">
        <v>17</v>
      </c>
      <c r="D303" t="s">
        <v>1218</v>
      </c>
      <c r="E303" t="s">
        <v>1219</v>
      </c>
      <c r="F303" t="s">
        <v>196</v>
      </c>
      <c r="G303" t="s">
        <v>758</v>
      </c>
      <c r="H303" t="s">
        <v>41</v>
      </c>
      <c r="I303" t="s">
        <v>23</v>
      </c>
      <c r="J303" s="1">
        <v>4770</v>
      </c>
      <c r="K303" t="s">
        <v>23</v>
      </c>
      <c r="L303" t="s">
        <v>1220</v>
      </c>
      <c r="M303" t="s">
        <v>1221</v>
      </c>
      <c r="N303">
        <v>7</v>
      </c>
      <c r="O303">
        <v>149286</v>
      </c>
    </row>
    <row r="304" spans="1:15" x14ac:dyDescent="0.35">
      <c r="A304" t="s">
        <v>15</v>
      </c>
      <c r="B304" t="s">
        <v>16</v>
      </c>
      <c r="C304" t="s">
        <v>17</v>
      </c>
      <c r="D304" t="s">
        <v>1222</v>
      </c>
      <c r="E304" t="s">
        <v>1223</v>
      </c>
      <c r="F304" t="s">
        <v>399</v>
      </c>
      <c r="G304" t="s">
        <v>229</v>
      </c>
      <c r="H304" t="s">
        <v>41</v>
      </c>
      <c r="I304" t="s">
        <v>58</v>
      </c>
      <c r="J304" s="1">
        <v>51270</v>
      </c>
      <c r="K304" t="s">
        <v>58</v>
      </c>
      <c r="L304" t="s">
        <v>1224</v>
      </c>
      <c r="M304" t="s">
        <v>1225</v>
      </c>
      <c r="N304">
        <v>5</v>
      </c>
      <c r="O304">
        <v>83821</v>
      </c>
    </row>
    <row r="305" spans="1:15" x14ac:dyDescent="0.35">
      <c r="A305" t="s">
        <v>15</v>
      </c>
      <c r="B305" t="s">
        <v>16</v>
      </c>
      <c r="C305" t="s">
        <v>82</v>
      </c>
      <c r="D305" t="s">
        <v>1226</v>
      </c>
      <c r="E305" t="s">
        <v>84</v>
      </c>
      <c r="F305" t="s">
        <v>513</v>
      </c>
      <c r="G305" t="s">
        <v>381</v>
      </c>
      <c r="H305" t="s">
        <v>41</v>
      </c>
      <c r="I305" t="s">
        <v>23</v>
      </c>
      <c r="J305" s="1">
        <v>2540</v>
      </c>
      <c r="K305" t="s">
        <v>23</v>
      </c>
      <c r="L305" t="s">
        <v>1227</v>
      </c>
      <c r="M305" t="s">
        <v>60</v>
      </c>
      <c r="N305">
        <v>22</v>
      </c>
      <c r="O305">
        <v>168972.5</v>
      </c>
    </row>
    <row r="306" spans="1:15" x14ac:dyDescent="0.35">
      <c r="A306" t="s">
        <v>15</v>
      </c>
      <c r="B306" t="s">
        <v>16</v>
      </c>
      <c r="C306" t="s">
        <v>61</v>
      </c>
      <c r="D306" t="s">
        <v>1228</v>
      </c>
      <c r="E306" t="s">
        <v>1229</v>
      </c>
      <c r="F306" t="s">
        <v>125</v>
      </c>
      <c r="G306" t="s">
        <v>758</v>
      </c>
      <c r="H306" t="s">
        <v>41</v>
      </c>
      <c r="I306" t="s">
        <v>58</v>
      </c>
      <c r="J306" s="1">
        <v>10270</v>
      </c>
      <c r="K306" t="s">
        <v>58</v>
      </c>
      <c r="L306" t="s">
        <v>1230</v>
      </c>
      <c r="M306" t="s">
        <v>1231</v>
      </c>
      <c r="N306">
        <v>14</v>
      </c>
      <c r="O306">
        <v>65768</v>
      </c>
    </row>
    <row r="307" spans="1:15" x14ac:dyDescent="0.35">
      <c r="A307" t="s">
        <v>15</v>
      </c>
      <c r="B307" t="s">
        <v>27</v>
      </c>
      <c r="C307" t="s">
        <v>82</v>
      </c>
      <c r="D307" t="s">
        <v>1232</v>
      </c>
      <c r="E307" t="s">
        <v>84</v>
      </c>
      <c r="F307" t="s">
        <v>39</v>
      </c>
      <c r="G307" t="s">
        <v>65</v>
      </c>
      <c r="H307" t="s">
        <v>115</v>
      </c>
      <c r="I307" t="s">
        <v>58</v>
      </c>
      <c r="J307">
        <v>180</v>
      </c>
      <c r="K307" t="s">
        <v>58</v>
      </c>
      <c r="L307" t="s">
        <v>1233</v>
      </c>
      <c r="M307" t="s">
        <v>60</v>
      </c>
      <c r="O307">
        <v>187236</v>
      </c>
    </row>
    <row r="308" spans="1:15" x14ac:dyDescent="0.35">
      <c r="A308" t="s">
        <v>15</v>
      </c>
      <c r="B308" t="s">
        <v>52</v>
      </c>
      <c r="C308" t="s">
        <v>36</v>
      </c>
      <c r="D308" t="s">
        <v>892</v>
      </c>
      <c r="E308" t="s">
        <v>893</v>
      </c>
      <c r="F308" t="s">
        <v>39</v>
      </c>
      <c r="G308" t="s">
        <v>894</v>
      </c>
      <c r="H308" t="s">
        <v>41</v>
      </c>
      <c r="I308" t="s">
        <v>58</v>
      </c>
      <c r="J308" s="1">
        <v>3780</v>
      </c>
      <c r="K308" t="s">
        <v>58</v>
      </c>
      <c r="L308" t="s">
        <v>1234</v>
      </c>
      <c r="M308" t="s">
        <v>60</v>
      </c>
      <c r="O308">
        <v>61374</v>
      </c>
    </row>
    <row r="309" spans="1:15" x14ac:dyDescent="0.35">
      <c r="A309" t="s">
        <v>15</v>
      </c>
      <c r="B309" t="s">
        <v>52</v>
      </c>
      <c r="C309" t="s">
        <v>17</v>
      </c>
      <c r="D309" t="s">
        <v>1235</v>
      </c>
      <c r="E309" t="s">
        <v>507</v>
      </c>
      <c r="F309" t="s">
        <v>39</v>
      </c>
      <c r="G309" t="s">
        <v>1236</v>
      </c>
      <c r="H309" t="s">
        <v>41</v>
      </c>
      <c r="I309" t="s">
        <v>58</v>
      </c>
      <c r="J309">
        <v>180</v>
      </c>
      <c r="K309" t="s">
        <v>58</v>
      </c>
      <c r="L309" t="s">
        <v>1237</v>
      </c>
      <c r="M309" t="s">
        <v>60</v>
      </c>
      <c r="O309">
        <v>49065</v>
      </c>
    </row>
    <row r="310" spans="1:15" x14ac:dyDescent="0.35">
      <c r="A310" t="s">
        <v>15</v>
      </c>
      <c r="B310" t="s">
        <v>16</v>
      </c>
      <c r="C310" t="s">
        <v>82</v>
      </c>
      <c r="D310" t="s">
        <v>1238</v>
      </c>
      <c r="E310" t="s">
        <v>84</v>
      </c>
      <c r="F310" t="s">
        <v>1239</v>
      </c>
      <c r="G310" t="s">
        <v>90</v>
      </c>
      <c r="H310" t="s">
        <v>156</v>
      </c>
      <c r="I310" t="s">
        <v>58</v>
      </c>
      <c r="J310">
        <v>90</v>
      </c>
      <c r="K310" t="s">
        <v>58</v>
      </c>
      <c r="L310" t="s">
        <v>1240</v>
      </c>
      <c r="M310" t="s">
        <v>60</v>
      </c>
      <c r="N310">
        <v>6</v>
      </c>
      <c r="O310">
        <v>155272</v>
      </c>
    </row>
    <row r="311" spans="1:15" x14ac:dyDescent="0.35">
      <c r="A311" t="s">
        <v>15</v>
      </c>
      <c r="B311" t="s">
        <v>99</v>
      </c>
      <c r="C311" t="s">
        <v>36</v>
      </c>
      <c r="D311" t="s">
        <v>1241</v>
      </c>
      <c r="E311" t="s">
        <v>165</v>
      </c>
      <c r="F311" t="s">
        <v>431</v>
      </c>
      <c r="G311" t="s">
        <v>942</v>
      </c>
      <c r="H311" t="s">
        <v>41</v>
      </c>
      <c r="I311" t="s">
        <v>23</v>
      </c>
      <c r="J311" s="1">
        <v>9300</v>
      </c>
      <c r="K311" t="s">
        <v>23</v>
      </c>
      <c r="L311" t="s">
        <v>1242</v>
      </c>
      <c r="M311" t="s">
        <v>944</v>
      </c>
      <c r="N311">
        <v>21</v>
      </c>
      <c r="O311">
        <v>186281</v>
      </c>
    </row>
    <row r="312" spans="1:15" x14ac:dyDescent="0.35">
      <c r="A312" t="s">
        <v>15</v>
      </c>
      <c r="B312" t="s">
        <v>99</v>
      </c>
      <c r="C312" t="s">
        <v>36</v>
      </c>
      <c r="D312" t="s">
        <v>1243</v>
      </c>
      <c r="E312" t="s">
        <v>1244</v>
      </c>
      <c r="F312" t="s">
        <v>39</v>
      </c>
      <c r="G312" t="s">
        <v>1245</v>
      </c>
      <c r="H312" t="s">
        <v>115</v>
      </c>
      <c r="I312" t="s">
        <v>23</v>
      </c>
      <c r="J312" s="1">
        <v>106370</v>
      </c>
      <c r="K312" t="s">
        <v>23</v>
      </c>
      <c r="L312" t="s">
        <v>1246</v>
      </c>
      <c r="M312" t="s">
        <v>256</v>
      </c>
      <c r="O312">
        <v>165775.5</v>
      </c>
    </row>
    <row r="313" spans="1:15" x14ac:dyDescent="0.35">
      <c r="A313" t="s">
        <v>15</v>
      </c>
      <c r="B313" t="s">
        <v>16</v>
      </c>
      <c r="C313" t="s">
        <v>17</v>
      </c>
      <c r="D313" t="s">
        <v>971</v>
      </c>
      <c r="E313" t="s">
        <v>258</v>
      </c>
      <c r="F313" t="s">
        <v>244</v>
      </c>
      <c r="G313" t="s">
        <v>65</v>
      </c>
      <c r="H313" t="s">
        <v>41</v>
      </c>
      <c r="I313" t="s">
        <v>58</v>
      </c>
      <c r="J313">
        <v>500</v>
      </c>
      <c r="K313" t="s">
        <v>58</v>
      </c>
      <c r="L313" t="s">
        <v>1247</v>
      </c>
      <c r="M313" t="s">
        <v>60</v>
      </c>
      <c r="N313">
        <v>2</v>
      </c>
      <c r="O313">
        <v>114169.5</v>
      </c>
    </row>
    <row r="314" spans="1:15" x14ac:dyDescent="0.35">
      <c r="A314" t="s">
        <v>15</v>
      </c>
      <c r="B314" t="s">
        <v>27</v>
      </c>
      <c r="C314" t="s">
        <v>36</v>
      </c>
      <c r="D314" t="s">
        <v>201</v>
      </c>
      <c r="E314" t="s">
        <v>268</v>
      </c>
      <c r="F314" t="s">
        <v>196</v>
      </c>
      <c r="G314" t="s">
        <v>204</v>
      </c>
      <c r="H314" t="s">
        <v>22</v>
      </c>
      <c r="I314" t="s">
        <v>23</v>
      </c>
      <c r="J314" s="1">
        <v>157150</v>
      </c>
      <c r="K314" t="s">
        <v>23</v>
      </c>
      <c r="L314" t="s">
        <v>1248</v>
      </c>
      <c r="M314" t="s">
        <v>1249</v>
      </c>
      <c r="N314">
        <v>7</v>
      </c>
      <c r="O314">
        <v>120567</v>
      </c>
    </row>
    <row r="315" spans="1:15" x14ac:dyDescent="0.35">
      <c r="A315" t="s">
        <v>15</v>
      </c>
      <c r="B315" t="s">
        <v>16</v>
      </c>
      <c r="C315" t="s">
        <v>82</v>
      </c>
      <c r="D315" t="s">
        <v>1250</v>
      </c>
      <c r="E315" t="s">
        <v>228</v>
      </c>
      <c r="F315" t="s">
        <v>196</v>
      </c>
      <c r="G315" t="s">
        <v>229</v>
      </c>
      <c r="H315" t="s">
        <v>41</v>
      </c>
      <c r="I315" t="s">
        <v>58</v>
      </c>
      <c r="J315">
        <v>960</v>
      </c>
      <c r="K315" t="s">
        <v>58</v>
      </c>
      <c r="L315" t="s">
        <v>1251</v>
      </c>
      <c r="M315" t="s">
        <v>1252</v>
      </c>
      <c r="N315">
        <v>7</v>
      </c>
      <c r="O315">
        <v>114166.5</v>
      </c>
    </row>
    <row r="316" spans="1:15" x14ac:dyDescent="0.35">
      <c r="A316" t="s">
        <v>15</v>
      </c>
      <c r="B316" t="s">
        <v>27</v>
      </c>
      <c r="C316" t="s">
        <v>36</v>
      </c>
      <c r="D316" t="s">
        <v>1253</v>
      </c>
      <c r="E316" t="s">
        <v>228</v>
      </c>
      <c r="F316" t="s">
        <v>125</v>
      </c>
      <c r="G316" t="s">
        <v>1254</v>
      </c>
      <c r="H316" t="s">
        <v>22</v>
      </c>
      <c r="I316" t="s">
        <v>23</v>
      </c>
      <c r="J316" s="1">
        <v>50040</v>
      </c>
      <c r="K316" t="s">
        <v>23</v>
      </c>
      <c r="L316" t="s">
        <v>1255</v>
      </c>
      <c r="M316" t="s">
        <v>1256</v>
      </c>
      <c r="N316">
        <v>14</v>
      </c>
      <c r="O316">
        <v>86958</v>
      </c>
    </row>
    <row r="317" spans="1:15" x14ac:dyDescent="0.35">
      <c r="A317" t="s">
        <v>15</v>
      </c>
      <c r="B317" t="s">
        <v>16</v>
      </c>
      <c r="C317" t="s">
        <v>82</v>
      </c>
      <c r="D317" t="s">
        <v>1257</v>
      </c>
      <c r="E317" t="s">
        <v>84</v>
      </c>
      <c r="F317" t="s">
        <v>341</v>
      </c>
      <c r="G317" t="s">
        <v>86</v>
      </c>
      <c r="H317" t="s">
        <v>115</v>
      </c>
      <c r="I317" t="s">
        <v>58</v>
      </c>
      <c r="J317">
        <v>360</v>
      </c>
      <c r="K317" t="s">
        <v>58</v>
      </c>
      <c r="L317" t="s">
        <v>1258</v>
      </c>
      <c r="M317" t="s">
        <v>60</v>
      </c>
      <c r="N317">
        <v>2</v>
      </c>
      <c r="O317">
        <v>127872.5</v>
      </c>
    </row>
    <row r="318" spans="1:15" x14ac:dyDescent="0.35">
      <c r="A318" t="s">
        <v>15</v>
      </c>
      <c r="B318" t="s">
        <v>16</v>
      </c>
      <c r="C318" t="s">
        <v>17</v>
      </c>
      <c r="D318" t="s">
        <v>1259</v>
      </c>
      <c r="E318" t="s">
        <v>1260</v>
      </c>
      <c r="F318" t="s">
        <v>196</v>
      </c>
      <c r="G318" t="s">
        <v>1261</v>
      </c>
      <c r="H318" t="s">
        <v>115</v>
      </c>
      <c r="I318" t="s">
        <v>58</v>
      </c>
      <c r="J318">
        <v>751</v>
      </c>
      <c r="K318" t="s">
        <v>58</v>
      </c>
      <c r="L318" t="s">
        <v>1262</v>
      </c>
      <c r="M318" t="s">
        <v>118</v>
      </c>
      <c r="N318">
        <v>7</v>
      </c>
      <c r="O318">
        <v>103871</v>
      </c>
    </row>
    <row r="319" spans="1:15" x14ac:dyDescent="0.35">
      <c r="A319" t="s">
        <v>15</v>
      </c>
      <c r="B319" t="s">
        <v>52</v>
      </c>
      <c r="C319" t="s">
        <v>17</v>
      </c>
      <c r="D319" t="s">
        <v>1263</v>
      </c>
      <c r="E319" t="s">
        <v>507</v>
      </c>
      <c r="F319" t="s">
        <v>884</v>
      </c>
      <c r="G319" t="s">
        <v>72</v>
      </c>
      <c r="H319" t="s">
        <v>41</v>
      </c>
      <c r="I319" t="s">
        <v>58</v>
      </c>
      <c r="J319">
        <v>180</v>
      </c>
      <c r="K319" t="s">
        <v>58</v>
      </c>
      <c r="L319" t="s">
        <v>1264</v>
      </c>
      <c r="M319" t="s">
        <v>60</v>
      </c>
      <c r="O319">
        <v>155269.5</v>
      </c>
    </row>
    <row r="320" spans="1:15" x14ac:dyDescent="0.35">
      <c r="A320" t="s">
        <v>15</v>
      </c>
      <c r="B320" t="s">
        <v>16</v>
      </c>
      <c r="C320" t="s">
        <v>82</v>
      </c>
      <c r="D320" t="s">
        <v>1265</v>
      </c>
      <c r="E320" t="s">
        <v>1266</v>
      </c>
      <c r="F320" t="s">
        <v>399</v>
      </c>
      <c r="G320" t="s">
        <v>594</v>
      </c>
      <c r="H320" t="s">
        <v>41</v>
      </c>
      <c r="I320" t="s">
        <v>58</v>
      </c>
      <c r="J320">
        <v>900</v>
      </c>
      <c r="K320" t="s">
        <v>58</v>
      </c>
      <c r="L320" t="s">
        <v>1267</v>
      </c>
      <c r="M320" t="s">
        <v>60</v>
      </c>
      <c r="N320">
        <v>5</v>
      </c>
      <c r="O320">
        <v>39026</v>
      </c>
    </row>
    <row r="321" spans="1:15" x14ac:dyDescent="0.35">
      <c r="A321" t="s">
        <v>75</v>
      </c>
      <c r="B321" t="s">
        <v>16</v>
      </c>
      <c r="C321" t="s">
        <v>36</v>
      </c>
      <c r="D321" t="s">
        <v>1268</v>
      </c>
      <c r="E321" t="s">
        <v>1269</v>
      </c>
      <c r="F321" t="s">
        <v>125</v>
      </c>
      <c r="G321" t="s">
        <v>1270</v>
      </c>
      <c r="H321" t="s">
        <v>41</v>
      </c>
      <c r="I321" t="s">
        <v>58</v>
      </c>
      <c r="J321" s="1">
        <v>1040</v>
      </c>
      <c r="K321" t="s">
        <v>58</v>
      </c>
      <c r="L321" t="s">
        <v>1271</v>
      </c>
      <c r="M321" t="s">
        <v>1272</v>
      </c>
      <c r="N321">
        <v>14</v>
      </c>
      <c r="O321">
        <v>118741.5</v>
      </c>
    </row>
    <row r="322" spans="1:15" x14ac:dyDescent="0.35">
      <c r="A322" t="s">
        <v>15</v>
      </c>
      <c r="B322" t="s">
        <v>16</v>
      </c>
      <c r="C322" t="s">
        <v>17</v>
      </c>
      <c r="D322" t="s">
        <v>1273</v>
      </c>
      <c r="E322" t="s">
        <v>614</v>
      </c>
      <c r="F322" t="s">
        <v>431</v>
      </c>
      <c r="G322" t="s">
        <v>90</v>
      </c>
      <c r="H322" t="s">
        <v>41</v>
      </c>
      <c r="I322" t="s">
        <v>58</v>
      </c>
      <c r="J322">
        <v>780</v>
      </c>
      <c r="K322" t="s">
        <v>58</v>
      </c>
      <c r="L322" t="s">
        <v>1274</v>
      </c>
      <c r="M322" t="s">
        <v>60</v>
      </c>
      <c r="N322">
        <v>21</v>
      </c>
      <c r="O322">
        <v>171251.5</v>
      </c>
    </row>
    <row r="323" spans="1:15" x14ac:dyDescent="0.35">
      <c r="A323" t="s">
        <v>15</v>
      </c>
      <c r="B323" t="s">
        <v>16</v>
      </c>
      <c r="C323" t="s">
        <v>61</v>
      </c>
      <c r="D323" t="s">
        <v>617</v>
      </c>
      <c r="E323" t="s">
        <v>618</v>
      </c>
      <c r="F323" t="s">
        <v>196</v>
      </c>
      <c r="G323" t="s">
        <v>619</v>
      </c>
      <c r="H323" t="s">
        <v>115</v>
      </c>
      <c r="I323" t="s">
        <v>23</v>
      </c>
      <c r="J323" s="1">
        <v>2540</v>
      </c>
      <c r="K323" t="s">
        <v>23</v>
      </c>
      <c r="L323" t="s">
        <v>1275</v>
      </c>
      <c r="M323" t="s">
        <v>621</v>
      </c>
      <c r="N323">
        <v>7</v>
      </c>
      <c r="O323">
        <v>75358.5</v>
      </c>
    </row>
    <row r="324" spans="1:15" x14ac:dyDescent="0.35">
      <c r="A324" t="s">
        <v>15</v>
      </c>
      <c r="B324" t="s">
        <v>16</v>
      </c>
      <c r="C324" t="s">
        <v>36</v>
      </c>
      <c r="D324" t="s">
        <v>1276</v>
      </c>
      <c r="E324" t="s">
        <v>54</v>
      </c>
      <c r="F324" t="s">
        <v>139</v>
      </c>
      <c r="G324" t="s">
        <v>40</v>
      </c>
      <c r="H324" t="s">
        <v>41</v>
      </c>
      <c r="I324" t="s">
        <v>58</v>
      </c>
      <c r="J324">
        <v>600</v>
      </c>
      <c r="K324" t="s">
        <v>58</v>
      </c>
      <c r="L324" t="s">
        <v>1277</v>
      </c>
      <c r="M324" t="s">
        <v>60</v>
      </c>
      <c r="N324">
        <v>13</v>
      </c>
      <c r="O324">
        <v>147968</v>
      </c>
    </row>
    <row r="325" spans="1:15" x14ac:dyDescent="0.35">
      <c r="A325" t="s">
        <v>15</v>
      </c>
      <c r="B325" t="s">
        <v>52</v>
      </c>
      <c r="C325" t="s">
        <v>17</v>
      </c>
      <c r="D325" t="s">
        <v>1263</v>
      </c>
      <c r="E325" t="s">
        <v>507</v>
      </c>
      <c r="F325" t="s">
        <v>220</v>
      </c>
      <c r="G325" t="s">
        <v>72</v>
      </c>
      <c r="H325" t="s">
        <v>41</v>
      </c>
      <c r="I325" t="s">
        <v>58</v>
      </c>
      <c r="J325">
        <v>180</v>
      </c>
      <c r="K325" t="s">
        <v>58</v>
      </c>
      <c r="L325" t="s">
        <v>1278</v>
      </c>
      <c r="M325" t="s">
        <v>60</v>
      </c>
      <c r="N325">
        <v>3</v>
      </c>
      <c r="O325">
        <v>155271.5</v>
      </c>
    </row>
    <row r="326" spans="1:15" x14ac:dyDescent="0.35">
      <c r="A326" t="s">
        <v>15</v>
      </c>
      <c r="B326" t="s">
        <v>52</v>
      </c>
      <c r="C326" t="s">
        <v>36</v>
      </c>
      <c r="D326" t="s">
        <v>1279</v>
      </c>
      <c r="E326" t="s">
        <v>1280</v>
      </c>
      <c r="F326" t="s">
        <v>244</v>
      </c>
      <c r="G326" t="s">
        <v>90</v>
      </c>
      <c r="H326" t="s">
        <v>41</v>
      </c>
      <c r="I326" t="s">
        <v>58</v>
      </c>
      <c r="J326">
        <v>45</v>
      </c>
      <c r="K326" t="s">
        <v>58</v>
      </c>
      <c r="L326" t="s">
        <v>1281</v>
      </c>
      <c r="M326" t="s">
        <v>60</v>
      </c>
      <c r="N326">
        <v>2</v>
      </c>
      <c r="O326">
        <v>171251.5</v>
      </c>
    </row>
    <row r="327" spans="1:15" x14ac:dyDescent="0.35">
      <c r="A327" t="s">
        <v>15</v>
      </c>
      <c r="B327" t="s">
        <v>16</v>
      </c>
      <c r="C327" t="s">
        <v>61</v>
      </c>
      <c r="D327" t="s">
        <v>1282</v>
      </c>
      <c r="E327" t="s">
        <v>646</v>
      </c>
      <c r="F327" t="s">
        <v>39</v>
      </c>
      <c r="G327" t="s">
        <v>1283</v>
      </c>
      <c r="H327" t="s">
        <v>41</v>
      </c>
      <c r="I327" t="s">
        <v>61</v>
      </c>
      <c r="J327" s="1">
        <v>6040</v>
      </c>
      <c r="K327" t="s">
        <v>73</v>
      </c>
      <c r="L327" t="s">
        <v>1284</v>
      </c>
      <c r="M327" t="s">
        <v>1285</v>
      </c>
      <c r="O327">
        <v>80624</v>
      </c>
    </row>
    <row r="328" spans="1:15" x14ac:dyDescent="0.35">
      <c r="A328" t="s">
        <v>15</v>
      </c>
      <c r="B328" t="s">
        <v>27</v>
      </c>
      <c r="C328" t="s">
        <v>36</v>
      </c>
      <c r="D328" t="s">
        <v>1286</v>
      </c>
      <c r="E328" t="s">
        <v>1287</v>
      </c>
      <c r="F328" t="s">
        <v>244</v>
      </c>
      <c r="G328" t="s">
        <v>90</v>
      </c>
      <c r="H328" t="s">
        <v>41</v>
      </c>
      <c r="I328" t="s">
        <v>58</v>
      </c>
      <c r="J328">
        <v>420</v>
      </c>
      <c r="K328" t="s">
        <v>58</v>
      </c>
      <c r="L328" t="s">
        <v>1288</v>
      </c>
      <c r="M328" t="s">
        <v>60</v>
      </c>
      <c r="N328">
        <v>2</v>
      </c>
      <c r="O328">
        <v>218288</v>
      </c>
    </row>
    <row r="329" spans="1:15" x14ac:dyDescent="0.35">
      <c r="A329" t="s">
        <v>15</v>
      </c>
      <c r="B329" t="s">
        <v>52</v>
      </c>
      <c r="C329" t="s">
        <v>36</v>
      </c>
      <c r="D329" t="s">
        <v>1289</v>
      </c>
      <c r="E329" t="s">
        <v>1290</v>
      </c>
      <c r="F329" t="s">
        <v>196</v>
      </c>
      <c r="G329" t="s">
        <v>1291</v>
      </c>
      <c r="H329" t="s">
        <v>41</v>
      </c>
      <c r="I329" t="s">
        <v>58</v>
      </c>
      <c r="J329">
        <v>57</v>
      </c>
      <c r="K329" t="s">
        <v>58</v>
      </c>
      <c r="L329" t="s">
        <v>1292</v>
      </c>
      <c r="M329" t="s">
        <v>60</v>
      </c>
      <c r="N329">
        <v>7</v>
      </c>
      <c r="O329">
        <v>155269</v>
      </c>
    </row>
    <row r="330" spans="1:15" x14ac:dyDescent="0.35">
      <c r="A330" t="s">
        <v>15</v>
      </c>
      <c r="B330" t="s">
        <v>16</v>
      </c>
      <c r="C330" t="s">
        <v>82</v>
      </c>
      <c r="D330" t="s">
        <v>1293</v>
      </c>
      <c r="E330" t="s">
        <v>84</v>
      </c>
      <c r="F330" t="s">
        <v>244</v>
      </c>
      <c r="G330" t="s">
        <v>1294</v>
      </c>
      <c r="H330" t="s">
        <v>41</v>
      </c>
      <c r="I330" t="s">
        <v>58</v>
      </c>
      <c r="J330">
        <v>45</v>
      </c>
      <c r="K330" t="s">
        <v>58</v>
      </c>
      <c r="L330" t="s">
        <v>1295</v>
      </c>
      <c r="M330" t="s">
        <v>60</v>
      </c>
      <c r="N330">
        <v>2</v>
      </c>
      <c r="O330">
        <v>162124</v>
      </c>
    </row>
    <row r="331" spans="1:15" x14ac:dyDescent="0.35">
      <c r="A331" t="s">
        <v>15</v>
      </c>
      <c r="B331" t="s">
        <v>16</v>
      </c>
      <c r="C331" t="s">
        <v>17</v>
      </c>
      <c r="D331" t="s">
        <v>1296</v>
      </c>
      <c r="E331" t="s">
        <v>1297</v>
      </c>
      <c r="F331" t="s">
        <v>312</v>
      </c>
      <c r="G331" t="s">
        <v>86</v>
      </c>
      <c r="H331" t="s">
        <v>41</v>
      </c>
      <c r="I331" t="s">
        <v>23</v>
      </c>
      <c r="J331" s="1">
        <v>3050</v>
      </c>
      <c r="K331" t="s">
        <v>23</v>
      </c>
      <c r="L331" t="s">
        <v>1298</v>
      </c>
      <c r="M331" t="s">
        <v>1299</v>
      </c>
      <c r="N331">
        <v>4</v>
      </c>
      <c r="O331">
        <v>169882</v>
      </c>
    </row>
    <row r="332" spans="1:15" x14ac:dyDescent="0.35">
      <c r="A332" t="s">
        <v>15</v>
      </c>
      <c r="B332" t="s">
        <v>16</v>
      </c>
      <c r="C332" t="s">
        <v>61</v>
      </c>
      <c r="D332" t="s">
        <v>1300</v>
      </c>
      <c r="E332" t="s">
        <v>1301</v>
      </c>
      <c r="F332" t="s">
        <v>513</v>
      </c>
      <c r="G332" t="s">
        <v>1291</v>
      </c>
      <c r="H332" t="s">
        <v>41</v>
      </c>
      <c r="I332" t="s">
        <v>58</v>
      </c>
      <c r="J332" s="1">
        <v>5060</v>
      </c>
      <c r="K332" t="s">
        <v>58</v>
      </c>
      <c r="L332" t="s">
        <v>1302</v>
      </c>
      <c r="M332" t="s">
        <v>60</v>
      </c>
      <c r="N332">
        <v>22</v>
      </c>
      <c r="O332">
        <v>78553.5</v>
      </c>
    </row>
    <row r="333" spans="1:15" x14ac:dyDescent="0.35">
      <c r="A333" t="s">
        <v>15</v>
      </c>
      <c r="B333" t="s">
        <v>16</v>
      </c>
      <c r="C333" t="s">
        <v>36</v>
      </c>
      <c r="D333" t="s">
        <v>1303</v>
      </c>
      <c r="E333" t="s">
        <v>1304</v>
      </c>
      <c r="F333" t="s">
        <v>47</v>
      </c>
      <c r="G333" t="s">
        <v>1305</v>
      </c>
      <c r="H333" t="s">
        <v>41</v>
      </c>
      <c r="I333" t="s">
        <v>58</v>
      </c>
      <c r="J333" s="1">
        <v>2300</v>
      </c>
      <c r="K333" t="s">
        <v>58</v>
      </c>
      <c r="L333" t="s">
        <v>1306</v>
      </c>
      <c r="M333" t="s">
        <v>1307</v>
      </c>
      <c r="N333">
        <v>8</v>
      </c>
      <c r="O333">
        <v>100467</v>
      </c>
    </row>
    <row r="334" spans="1:15" x14ac:dyDescent="0.35">
      <c r="A334" t="s">
        <v>15</v>
      </c>
      <c r="B334" t="s">
        <v>16</v>
      </c>
      <c r="C334" t="s">
        <v>61</v>
      </c>
      <c r="D334" t="s">
        <v>1300</v>
      </c>
      <c r="E334" t="s">
        <v>1308</v>
      </c>
      <c r="F334" t="s">
        <v>431</v>
      </c>
      <c r="G334" t="s">
        <v>1291</v>
      </c>
      <c r="H334" t="s">
        <v>41</v>
      </c>
      <c r="I334" t="s">
        <v>58</v>
      </c>
      <c r="J334" s="1">
        <v>5030</v>
      </c>
      <c r="K334" t="s">
        <v>58</v>
      </c>
      <c r="L334" t="s">
        <v>1309</v>
      </c>
      <c r="M334" t="s">
        <v>1310</v>
      </c>
      <c r="N334">
        <v>21</v>
      </c>
      <c r="O334">
        <v>209159.5</v>
      </c>
    </row>
    <row r="335" spans="1:15" x14ac:dyDescent="0.35">
      <c r="A335" t="s">
        <v>15</v>
      </c>
      <c r="B335" t="s">
        <v>27</v>
      </c>
      <c r="C335" t="s">
        <v>61</v>
      </c>
      <c r="D335" t="s">
        <v>1311</v>
      </c>
      <c r="E335" t="s">
        <v>63</v>
      </c>
      <c r="F335" t="s">
        <v>1239</v>
      </c>
      <c r="G335" t="s">
        <v>65</v>
      </c>
      <c r="H335" t="s">
        <v>41</v>
      </c>
      <c r="I335" t="s">
        <v>58</v>
      </c>
      <c r="J335" s="1">
        <v>2060</v>
      </c>
      <c r="K335" t="s">
        <v>58</v>
      </c>
      <c r="L335" t="s">
        <v>1312</v>
      </c>
      <c r="M335" t="s">
        <v>1313</v>
      </c>
      <c r="N335">
        <v>6</v>
      </c>
      <c r="O335">
        <v>102480.5</v>
      </c>
    </row>
    <row r="336" spans="1:15" x14ac:dyDescent="0.35">
      <c r="A336" t="s">
        <v>15</v>
      </c>
      <c r="B336" t="s">
        <v>16</v>
      </c>
      <c r="C336" t="s">
        <v>36</v>
      </c>
      <c r="D336" t="s">
        <v>1314</v>
      </c>
      <c r="E336" t="s">
        <v>1315</v>
      </c>
      <c r="F336" t="s">
        <v>47</v>
      </c>
      <c r="G336" t="s">
        <v>1316</v>
      </c>
      <c r="H336" t="s">
        <v>22</v>
      </c>
      <c r="I336" t="s">
        <v>23</v>
      </c>
      <c r="J336" s="1">
        <v>4760</v>
      </c>
      <c r="K336" t="s">
        <v>23</v>
      </c>
      <c r="L336" t="s">
        <v>1317</v>
      </c>
      <c r="M336" t="s">
        <v>1318</v>
      </c>
      <c r="N336">
        <v>8</v>
      </c>
      <c r="O336">
        <v>127721.5</v>
      </c>
    </row>
    <row r="337" spans="1:15" x14ac:dyDescent="0.35">
      <c r="A337" t="s">
        <v>15</v>
      </c>
      <c r="B337" t="s">
        <v>27</v>
      </c>
      <c r="C337" t="s">
        <v>61</v>
      </c>
      <c r="D337" t="s">
        <v>1070</v>
      </c>
      <c r="E337" t="s">
        <v>1142</v>
      </c>
      <c r="F337" t="s">
        <v>856</v>
      </c>
      <c r="G337" t="s">
        <v>86</v>
      </c>
      <c r="H337" t="s">
        <v>115</v>
      </c>
      <c r="I337" t="s">
        <v>61</v>
      </c>
      <c r="J337" s="1">
        <v>4270</v>
      </c>
      <c r="K337" t="s">
        <v>960</v>
      </c>
      <c r="L337" t="s">
        <v>1319</v>
      </c>
      <c r="M337" t="s">
        <v>206</v>
      </c>
      <c r="N337">
        <v>23</v>
      </c>
      <c r="O337">
        <v>166226.5</v>
      </c>
    </row>
    <row r="338" spans="1:15" x14ac:dyDescent="0.35">
      <c r="A338" t="s">
        <v>15</v>
      </c>
      <c r="B338" t="s">
        <v>16</v>
      </c>
      <c r="C338" t="s">
        <v>17</v>
      </c>
      <c r="D338" t="s">
        <v>1320</v>
      </c>
      <c r="E338" t="s">
        <v>1321</v>
      </c>
      <c r="F338" t="s">
        <v>196</v>
      </c>
      <c r="G338" t="s">
        <v>1322</v>
      </c>
      <c r="H338" t="s">
        <v>115</v>
      </c>
      <c r="I338" t="s">
        <v>23</v>
      </c>
      <c r="J338" s="1">
        <v>22030</v>
      </c>
      <c r="K338" t="s">
        <v>23</v>
      </c>
      <c r="L338" t="s">
        <v>1323</v>
      </c>
      <c r="M338" t="s">
        <v>256</v>
      </c>
      <c r="N338">
        <v>7</v>
      </c>
      <c r="O338">
        <v>162659</v>
      </c>
    </row>
    <row r="339" spans="1:15" x14ac:dyDescent="0.35">
      <c r="A339" t="s">
        <v>15</v>
      </c>
      <c r="B339" t="s">
        <v>16</v>
      </c>
      <c r="C339" t="s">
        <v>61</v>
      </c>
      <c r="D339" t="s">
        <v>1324</v>
      </c>
      <c r="E339" t="s">
        <v>165</v>
      </c>
      <c r="F339" t="s">
        <v>341</v>
      </c>
      <c r="G339" t="s">
        <v>90</v>
      </c>
      <c r="H339" t="s">
        <v>57</v>
      </c>
      <c r="I339" t="s">
        <v>58</v>
      </c>
      <c r="J339">
        <v>90</v>
      </c>
      <c r="K339" t="s">
        <v>58</v>
      </c>
      <c r="L339" t="s">
        <v>1325</v>
      </c>
      <c r="M339" t="s">
        <v>1326</v>
      </c>
      <c r="N339">
        <v>2</v>
      </c>
      <c r="O339">
        <v>232902</v>
      </c>
    </row>
    <row r="340" spans="1:15" x14ac:dyDescent="0.35">
      <c r="A340" t="s">
        <v>15</v>
      </c>
      <c r="B340" t="s">
        <v>16</v>
      </c>
      <c r="C340" t="s">
        <v>17</v>
      </c>
      <c r="D340" t="s">
        <v>1327</v>
      </c>
      <c r="E340" t="s">
        <v>517</v>
      </c>
      <c r="F340" t="s">
        <v>125</v>
      </c>
      <c r="G340" t="s">
        <v>758</v>
      </c>
      <c r="H340" t="s">
        <v>41</v>
      </c>
      <c r="I340" t="s">
        <v>58</v>
      </c>
      <c r="J340">
        <v>330</v>
      </c>
      <c r="K340" t="s">
        <v>58</v>
      </c>
      <c r="L340" t="s">
        <v>1258</v>
      </c>
      <c r="M340" t="s">
        <v>1328</v>
      </c>
      <c r="N340">
        <v>14</v>
      </c>
      <c r="O340">
        <v>127872.5</v>
      </c>
    </row>
    <row r="341" spans="1:15" x14ac:dyDescent="0.35">
      <c r="A341" t="s">
        <v>15</v>
      </c>
      <c r="B341" t="s">
        <v>16</v>
      </c>
      <c r="C341" t="s">
        <v>17</v>
      </c>
      <c r="D341" t="s">
        <v>1099</v>
      </c>
      <c r="E341" t="s">
        <v>614</v>
      </c>
      <c r="F341" t="s">
        <v>312</v>
      </c>
      <c r="G341" t="s">
        <v>90</v>
      </c>
      <c r="H341" t="s">
        <v>41</v>
      </c>
      <c r="I341" t="s">
        <v>58</v>
      </c>
      <c r="J341">
        <v>524</v>
      </c>
      <c r="K341" t="s">
        <v>58</v>
      </c>
      <c r="L341" t="s">
        <v>1329</v>
      </c>
      <c r="M341" t="s">
        <v>110</v>
      </c>
      <c r="N341">
        <v>4</v>
      </c>
      <c r="O341">
        <v>173541</v>
      </c>
    </row>
    <row r="342" spans="1:15" x14ac:dyDescent="0.35">
      <c r="A342" t="s">
        <v>15</v>
      </c>
      <c r="B342" t="s">
        <v>69</v>
      </c>
      <c r="C342" t="s">
        <v>82</v>
      </c>
      <c r="D342" t="s">
        <v>1330</v>
      </c>
      <c r="E342" t="s">
        <v>1331</v>
      </c>
      <c r="F342" t="s">
        <v>125</v>
      </c>
      <c r="G342" t="s">
        <v>773</v>
      </c>
      <c r="H342" t="s">
        <v>115</v>
      </c>
      <c r="I342" t="s">
        <v>61</v>
      </c>
      <c r="J342" s="1">
        <v>2840</v>
      </c>
      <c r="K342" t="s">
        <v>960</v>
      </c>
      <c r="L342" t="s">
        <v>1332</v>
      </c>
      <c r="M342" t="s">
        <v>256</v>
      </c>
      <c r="N342">
        <v>14</v>
      </c>
      <c r="O342">
        <v>43700</v>
      </c>
    </row>
    <row r="343" spans="1:15" x14ac:dyDescent="0.35">
      <c r="A343" t="s">
        <v>15</v>
      </c>
      <c r="B343" t="s">
        <v>27</v>
      </c>
      <c r="C343" t="s">
        <v>61</v>
      </c>
      <c r="D343" t="s">
        <v>1333</v>
      </c>
      <c r="E343" t="s">
        <v>1334</v>
      </c>
      <c r="F343" t="s">
        <v>196</v>
      </c>
      <c r="G343" t="s">
        <v>1335</v>
      </c>
      <c r="H343" t="s">
        <v>156</v>
      </c>
      <c r="I343" t="s">
        <v>58</v>
      </c>
      <c r="J343" s="1">
        <v>13070</v>
      </c>
      <c r="K343" t="s">
        <v>58</v>
      </c>
      <c r="L343" t="s">
        <v>1336</v>
      </c>
      <c r="M343" t="s">
        <v>1337</v>
      </c>
      <c r="N343">
        <v>7</v>
      </c>
      <c r="O343">
        <v>29498</v>
      </c>
    </row>
    <row r="344" spans="1:15" x14ac:dyDescent="0.35">
      <c r="A344" t="s">
        <v>15</v>
      </c>
      <c r="B344" t="s">
        <v>52</v>
      </c>
      <c r="C344" t="s">
        <v>36</v>
      </c>
      <c r="D344" t="s">
        <v>1338</v>
      </c>
      <c r="E344" t="s">
        <v>626</v>
      </c>
      <c r="F344" t="s">
        <v>139</v>
      </c>
      <c r="G344" t="s">
        <v>90</v>
      </c>
      <c r="H344" t="s">
        <v>41</v>
      </c>
      <c r="I344" t="s">
        <v>58</v>
      </c>
      <c r="J344">
        <v>90</v>
      </c>
      <c r="K344" t="s">
        <v>58</v>
      </c>
      <c r="L344" t="s">
        <v>1339</v>
      </c>
      <c r="M344" t="s">
        <v>60</v>
      </c>
      <c r="N344">
        <v>13</v>
      </c>
      <c r="O344">
        <v>153447.5</v>
      </c>
    </row>
    <row r="345" spans="1:15" x14ac:dyDescent="0.35">
      <c r="A345" t="s">
        <v>15</v>
      </c>
      <c r="B345" t="s">
        <v>27</v>
      </c>
      <c r="C345" t="s">
        <v>17</v>
      </c>
      <c r="D345" t="s">
        <v>1340</v>
      </c>
      <c r="E345" t="s">
        <v>1341</v>
      </c>
      <c r="F345" t="s">
        <v>39</v>
      </c>
      <c r="G345" t="s">
        <v>1342</v>
      </c>
      <c r="H345" t="s">
        <v>41</v>
      </c>
      <c r="I345" t="s">
        <v>58</v>
      </c>
      <c r="J345">
        <v>150</v>
      </c>
      <c r="K345" t="s">
        <v>58</v>
      </c>
      <c r="L345" t="s">
        <v>1343</v>
      </c>
      <c r="M345" t="s">
        <v>60</v>
      </c>
      <c r="O345">
        <v>148424.5</v>
      </c>
    </row>
    <row r="346" spans="1:15" x14ac:dyDescent="0.35">
      <c r="A346" t="s">
        <v>15</v>
      </c>
      <c r="B346" t="s">
        <v>52</v>
      </c>
      <c r="C346" t="s">
        <v>17</v>
      </c>
      <c r="D346" t="s">
        <v>1344</v>
      </c>
      <c r="E346" t="s">
        <v>507</v>
      </c>
      <c r="F346" t="s">
        <v>292</v>
      </c>
      <c r="G346" t="s">
        <v>90</v>
      </c>
      <c r="H346" t="s">
        <v>41</v>
      </c>
      <c r="I346" t="s">
        <v>58</v>
      </c>
      <c r="J346">
        <v>45</v>
      </c>
      <c r="K346" t="s">
        <v>58</v>
      </c>
      <c r="L346" t="s">
        <v>1345</v>
      </c>
      <c r="M346" t="s">
        <v>60</v>
      </c>
      <c r="N346">
        <v>5</v>
      </c>
      <c r="O346">
        <v>137005.5</v>
      </c>
    </row>
    <row r="347" spans="1:15" x14ac:dyDescent="0.35">
      <c r="A347" t="s">
        <v>15</v>
      </c>
      <c r="B347" t="s">
        <v>16</v>
      </c>
      <c r="C347" t="s">
        <v>17</v>
      </c>
      <c r="D347" t="s">
        <v>1346</v>
      </c>
      <c r="E347" t="s">
        <v>1347</v>
      </c>
      <c r="F347" t="s">
        <v>196</v>
      </c>
      <c r="G347" t="s">
        <v>1348</v>
      </c>
      <c r="H347" t="s">
        <v>32</v>
      </c>
      <c r="I347" t="s">
        <v>58</v>
      </c>
      <c r="J347">
        <v>420</v>
      </c>
      <c r="K347" t="s">
        <v>58</v>
      </c>
      <c r="L347" t="s">
        <v>1349</v>
      </c>
      <c r="M347" t="s">
        <v>60</v>
      </c>
      <c r="N347">
        <v>7</v>
      </c>
      <c r="O347">
        <v>156187</v>
      </c>
    </row>
    <row r="348" spans="1:15" x14ac:dyDescent="0.35">
      <c r="A348" t="s">
        <v>15</v>
      </c>
      <c r="B348" t="s">
        <v>16</v>
      </c>
      <c r="C348" t="s">
        <v>82</v>
      </c>
      <c r="D348" t="s">
        <v>1350</v>
      </c>
      <c r="E348" t="s">
        <v>84</v>
      </c>
      <c r="F348" t="s">
        <v>237</v>
      </c>
      <c r="G348" t="s">
        <v>1351</v>
      </c>
      <c r="H348" t="s">
        <v>41</v>
      </c>
      <c r="I348" t="s">
        <v>58</v>
      </c>
      <c r="J348">
        <v>210</v>
      </c>
      <c r="K348" t="s">
        <v>58</v>
      </c>
      <c r="L348" t="s">
        <v>391</v>
      </c>
      <c r="M348" t="s">
        <v>60</v>
      </c>
      <c r="N348">
        <v>20</v>
      </c>
      <c r="O348">
        <v>200936</v>
      </c>
    </row>
    <row r="349" spans="1:15" x14ac:dyDescent="0.35">
      <c r="A349" t="s">
        <v>15</v>
      </c>
      <c r="B349" t="s">
        <v>27</v>
      </c>
      <c r="C349" t="s">
        <v>82</v>
      </c>
      <c r="D349" t="s">
        <v>1352</v>
      </c>
      <c r="E349" t="s">
        <v>1353</v>
      </c>
      <c r="F349" t="s">
        <v>89</v>
      </c>
      <c r="G349" t="s">
        <v>1354</v>
      </c>
      <c r="H349" t="s">
        <v>57</v>
      </c>
      <c r="I349" t="s">
        <v>23</v>
      </c>
      <c r="J349" s="1">
        <v>26010</v>
      </c>
      <c r="K349" t="s">
        <v>23</v>
      </c>
      <c r="L349" t="s">
        <v>1355</v>
      </c>
      <c r="M349" t="s">
        <v>1356</v>
      </c>
      <c r="O349">
        <v>90424</v>
      </c>
    </row>
    <row r="350" spans="1:15" x14ac:dyDescent="0.35">
      <c r="A350" t="s">
        <v>15</v>
      </c>
      <c r="B350" t="s">
        <v>69</v>
      </c>
      <c r="C350" t="s">
        <v>36</v>
      </c>
      <c r="D350" t="s">
        <v>1357</v>
      </c>
      <c r="E350" t="s">
        <v>1358</v>
      </c>
      <c r="F350" t="s">
        <v>125</v>
      </c>
      <c r="G350" t="s">
        <v>229</v>
      </c>
      <c r="H350" t="s">
        <v>57</v>
      </c>
      <c r="I350" t="s">
        <v>58</v>
      </c>
      <c r="J350" s="1">
        <v>3790</v>
      </c>
      <c r="K350" t="s">
        <v>58</v>
      </c>
      <c r="L350" t="s">
        <v>1196</v>
      </c>
      <c r="M350" t="s">
        <v>1359</v>
      </c>
      <c r="N350">
        <v>14</v>
      </c>
      <c r="O350">
        <v>182667</v>
      </c>
    </row>
    <row r="351" spans="1:15" x14ac:dyDescent="0.35">
      <c r="A351" t="s">
        <v>15</v>
      </c>
      <c r="B351" t="s">
        <v>27</v>
      </c>
      <c r="C351" t="s">
        <v>61</v>
      </c>
      <c r="D351" t="s">
        <v>1360</v>
      </c>
      <c r="E351" t="s">
        <v>1361</v>
      </c>
      <c r="F351" t="s">
        <v>125</v>
      </c>
      <c r="G351" t="s">
        <v>229</v>
      </c>
      <c r="H351" t="s">
        <v>22</v>
      </c>
      <c r="I351" t="s">
        <v>58</v>
      </c>
      <c r="J351" s="1">
        <v>14460</v>
      </c>
      <c r="K351" t="s">
        <v>58</v>
      </c>
      <c r="L351" t="s">
        <v>1362</v>
      </c>
      <c r="M351" t="s">
        <v>60</v>
      </c>
      <c r="N351">
        <v>14</v>
      </c>
      <c r="O351">
        <v>100473</v>
      </c>
    </row>
    <row r="352" spans="1:15" x14ac:dyDescent="0.35">
      <c r="A352" t="s">
        <v>15</v>
      </c>
      <c r="B352" t="s">
        <v>27</v>
      </c>
      <c r="C352" t="s">
        <v>17</v>
      </c>
      <c r="D352" t="s">
        <v>1363</v>
      </c>
      <c r="E352" t="s">
        <v>1341</v>
      </c>
      <c r="F352" t="s">
        <v>39</v>
      </c>
      <c r="G352" t="s">
        <v>1342</v>
      </c>
      <c r="H352" t="s">
        <v>41</v>
      </c>
      <c r="I352" t="s">
        <v>58</v>
      </c>
      <c r="J352">
        <v>150</v>
      </c>
      <c r="K352" t="s">
        <v>58</v>
      </c>
      <c r="L352" t="s">
        <v>1364</v>
      </c>
      <c r="M352" t="s">
        <v>60</v>
      </c>
      <c r="O352">
        <v>237468</v>
      </c>
    </row>
    <row r="353" spans="1:15" x14ac:dyDescent="0.35">
      <c r="A353" t="s">
        <v>15</v>
      </c>
      <c r="B353" t="s">
        <v>16</v>
      </c>
      <c r="C353" t="s">
        <v>36</v>
      </c>
      <c r="D353" t="s">
        <v>1365</v>
      </c>
      <c r="E353" t="s">
        <v>228</v>
      </c>
      <c r="F353" t="s">
        <v>39</v>
      </c>
      <c r="G353" t="s">
        <v>90</v>
      </c>
      <c r="H353" t="s">
        <v>41</v>
      </c>
      <c r="I353" t="s">
        <v>23</v>
      </c>
      <c r="J353" s="1">
        <v>1780</v>
      </c>
      <c r="K353" t="s">
        <v>23</v>
      </c>
      <c r="L353" t="s">
        <v>1366</v>
      </c>
      <c r="M353" t="s">
        <v>1367</v>
      </c>
      <c r="O353">
        <v>114170</v>
      </c>
    </row>
    <row r="354" spans="1:15" x14ac:dyDescent="0.35">
      <c r="A354" t="s">
        <v>15</v>
      </c>
      <c r="B354" t="s">
        <v>16</v>
      </c>
      <c r="C354" t="s">
        <v>61</v>
      </c>
      <c r="D354" t="s">
        <v>1368</v>
      </c>
      <c r="E354" t="s">
        <v>1142</v>
      </c>
      <c r="F354" t="s">
        <v>125</v>
      </c>
      <c r="G354" t="s">
        <v>90</v>
      </c>
      <c r="H354" t="s">
        <v>57</v>
      </c>
      <c r="I354" t="s">
        <v>58</v>
      </c>
      <c r="J354">
        <v>700</v>
      </c>
      <c r="K354" t="s">
        <v>58</v>
      </c>
      <c r="L354" t="s">
        <v>1369</v>
      </c>
      <c r="M354" t="s">
        <v>1370</v>
      </c>
      <c r="N354">
        <v>14</v>
      </c>
      <c r="O354">
        <v>197509.5</v>
      </c>
    </row>
    <row r="355" spans="1:15" x14ac:dyDescent="0.35">
      <c r="A355" t="s">
        <v>15</v>
      </c>
      <c r="B355" t="s">
        <v>16</v>
      </c>
      <c r="C355" t="s">
        <v>17</v>
      </c>
      <c r="D355" t="s">
        <v>1371</v>
      </c>
      <c r="E355" t="s">
        <v>258</v>
      </c>
      <c r="F355" t="s">
        <v>30</v>
      </c>
      <c r="G355" t="s">
        <v>65</v>
      </c>
      <c r="H355" t="s">
        <v>22</v>
      </c>
      <c r="I355" t="s">
        <v>23</v>
      </c>
      <c r="J355" s="1">
        <v>1800</v>
      </c>
      <c r="K355" t="s">
        <v>23</v>
      </c>
      <c r="L355" t="s">
        <v>1372</v>
      </c>
      <c r="M355" t="s">
        <v>1373</v>
      </c>
      <c r="N355">
        <v>15</v>
      </c>
      <c r="O355">
        <v>70784.5</v>
      </c>
    </row>
    <row r="356" spans="1:15" x14ac:dyDescent="0.35">
      <c r="A356" t="s">
        <v>15</v>
      </c>
      <c r="B356" t="s">
        <v>16</v>
      </c>
      <c r="C356" t="s">
        <v>36</v>
      </c>
      <c r="D356" t="s">
        <v>1374</v>
      </c>
      <c r="E356" t="s">
        <v>1375</v>
      </c>
      <c r="F356" t="s">
        <v>244</v>
      </c>
      <c r="G356" t="s">
        <v>1376</v>
      </c>
      <c r="H356" t="s">
        <v>57</v>
      </c>
      <c r="I356" t="s">
        <v>23</v>
      </c>
      <c r="J356" s="1">
        <v>3780</v>
      </c>
      <c r="K356" t="s">
        <v>23</v>
      </c>
      <c r="L356" t="s">
        <v>1377</v>
      </c>
      <c r="M356" t="s">
        <v>1378</v>
      </c>
      <c r="N356">
        <v>2</v>
      </c>
      <c r="O356">
        <v>116052</v>
      </c>
    </row>
    <row r="357" spans="1:15" x14ac:dyDescent="0.35">
      <c r="A357" t="s">
        <v>15</v>
      </c>
      <c r="B357" t="s">
        <v>99</v>
      </c>
      <c r="C357" t="s">
        <v>36</v>
      </c>
      <c r="D357" t="s">
        <v>1379</v>
      </c>
      <c r="E357" t="s">
        <v>1380</v>
      </c>
      <c r="F357" t="s">
        <v>399</v>
      </c>
      <c r="G357" t="s">
        <v>90</v>
      </c>
      <c r="H357" t="s">
        <v>41</v>
      </c>
      <c r="I357" t="s">
        <v>58</v>
      </c>
      <c r="J357">
        <v>300</v>
      </c>
      <c r="K357" t="s">
        <v>58</v>
      </c>
      <c r="L357" t="s">
        <v>1381</v>
      </c>
      <c r="M357" t="s">
        <v>1382</v>
      </c>
      <c r="N357">
        <v>5</v>
      </c>
      <c r="O357">
        <v>109147.5</v>
      </c>
    </row>
    <row r="358" spans="1:15" x14ac:dyDescent="0.35">
      <c r="A358" t="s">
        <v>15</v>
      </c>
      <c r="B358" t="s">
        <v>16</v>
      </c>
      <c r="C358" t="s">
        <v>36</v>
      </c>
      <c r="D358" t="s">
        <v>1383</v>
      </c>
      <c r="E358" t="s">
        <v>228</v>
      </c>
      <c r="F358" t="s">
        <v>203</v>
      </c>
      <c r="G358" t="s">
        <v>1384</v>
      </c>
      <c r="H358" t="s">
        <v>41</v>
      </c>
      <c r="I358" t="s">
        <v>58</v>
      </c>
      <c r="J358">
        <v>90</v>
      </c>
      <c r="K358" t="s">
        <v>58</v>
      </c>
      <c r="L358" t="s">
        <v>1385</v>
      </c>
      <c r="M358" t="s">
        <v>118</v>
      </c>
      <c r="N358">
        <v>25</v>
      </c>
      <c r="O358">
        <v>105039.5</v>
      </c>
    </row>
    <row r="359" spans="1:15" x14ac:dyDescent="0.35">
      <c r="A359" t="s">
        <v>15</v>
      </c>
      <c r="B359" t="s">
        <v>52</v>
      </c>
      <c r="C359" t="s">
        <v>61</v>
      </c>
      <c r="D359" t="s">
        <v>1386</v>
      </c>
      <c r="E359" t="s">
        <v>637</v>
      </c>
      <c r="F359" t="s">
        <v>244</v>
      </c>
      <c r="G359" t="s">
        <v>1387</v>
      </c>
      <c r="H359" t="s">
        <v>115</v>
      </c>
      <c r="I359" t="s">
        <v>23</v>
      </c>
      <c r="J359" s="1">
        <v>2320</v>
      </c>
      <c r="K359" t="s">
        <v>23</v>
      </c>
      <c r="L359" t="s">
        <v>1388</v>
      </c>
      <c r="M359" t="s">
        <v>60</v>
      </c>
      <c r="N359">
        <v>2</v>
      </c>
      <c r="O359">
        <v>50348.5</v>
      </c>
    </row>
    <row r="360" spans="1:15" x14ac:dyDescent="0.35">
      <c r="A360" t="s">
        <v>15</v>
      </c>
      <c r="B360" t="s">
        <v>16</v>
      </c>
      <c r="C360" t="s">
        <v>82</v>
      </c>
      <c r="D360" t="s">
        <v>1389</v>
      </c>
      <c r="E360" t="s">
        <v>243</v>
      </c>
      <c r="F360" t="s">
        <v>125</v>
      </c>
      <c r="G360" t="s">
        <v>588</v>
      </c>
      <c r="H360" t="s">
        <v>57</v>
      </c>
      <c r="I360" t="s">
        <v>58</v>
      </c>
      <c r="J360">
        <v>226</v>
      </c>
      <c r="K360" t="s">
        <v>58</v>
      </c>
      <c r="L360" t="s">
        <v>1390</v>
      </c>
      <c r="M360" t="s">
        <v>659</v>
      </c>
      <c r="N360">
        <v>14</v>
      </c>
      <c r="O360">
        <v>175823.5</v>
      </c>
    </row>
    <row r="361" spans="1:15" x14ac:dyDescent="0.35">
      <c r="A361" t="s">
        <v>15</v>
      </c>
      <c r="B361" t="s">
        <v>16</v>
      </c>
      <c r="C361" t="s">
        <v>36</v>
      </c>
      <c r="D361" t="s">
        <v>1391</v>
      </c>
      <c r="E361" t="s">
        <v>228</v>
      </c>
      <c r="F361" t="s">
        <v>39</v>
      </c>
      <c r="G361" t="s">
        <v>580</v>
      </c>
      <c r="H361" t="s">
        <v>41</v>
      </c>
      <c r="I361" t="s">
        <v>23</v>
      </c>
      <c r="J361" s="1">
        <v>34020</v>
      </c>
      <c r="K361" t="s">
        <v>23</v>
      </c>
      <c r="L361" t="s">
        <v>1392</v>
      </c>
      <c r="M361" t="s">
        <v>1393</v>
      </c>
      <c r="O361">
        <v>164406</v>
      </c>
    </row>
    <row r="362" spans="1:15" x14ac:dyDescent="0.35">
      <c r="A362" t="s">
        <v>15</v>
      </c>
      <c r="B362" t="s">
        <v>16</v>
      </c>
      <c r="C362" t="s">
        <v>61</v>
      </c>
      <c r="D362" t="s">
        <v>1394</v>
      </c>
      <c r="E362" t="s">
        <v>1395</v>
      </c>
      <c r="F362" t="s">
        <v>39</v>
      </c>
      <c r="G362" t="s">
        <v>1396</v>
      </c>
      <c r="H362" t="s">
        <v>22</v>
      </c>
      <c r="I362" t="s">
        <v>58</v>
      </c>
      <c r="J362" s="1">
        <v>70060</v>
      </c>
      <c r="K362" t="s">
        <v>58</v>
      </c>
      <c r="L362" t="s">
        <v>1397</v>
      </c>
      <c r="M362" t="s">
        <v>1398</v>
      </c>
      <c r="O362">
        <v>115541</v>
      </c>
    </row>
    <row r="363" spans="1:15" x14ac:dyDescent="0.35">
      <c r="A363" t="s">
        <v>15</v>
      </c>
      <c r="B363" t="s">
        <v>16</v>
      </c>
      <c r="C363" t="s">
        <v>61</v>
      </c>
      <c r="D363" t="s">
        <v>1399</v>
      </c>
      <c r="E363" t="s">
        <v>1400</v>
      </c>
      <c r="F363" t="s">
        <v>196</v>
      </c>
      <c r="G363" t="s">
        <v>65</v>
      </c>
      <c r="H363" t="s">
        <v>41</v>
      </c>
      <c r="I363" t="s">
        <v>23</v>
      </c>
      <c r="J363" s="1">
        <v>26670</v>
      </c>
      <c r="K363" t="s">
        <v>23</v>
      </c>
      <c r="L363" t="s">
        <v>1401</v>
      </c>
      <c r="M363" t="s">
        <v>1402</v>
      </c>
      <c r="N363">
        <v>7</v>
      </c>
      <c r="O363">
        <v>18675</v>
      </c>
    </row>
    <row r="364" spans="1:15" x14ac:dyDescent="0.35">
      <c r="A364" t="s">
        <v>15</v>
      </c>
      <c r="B364" t="s">
        <v>16</v>
      </c>
      <c r="C364" t="s">
        <v>36</v>
      </c>
      <c r="D364" t="s">
        <v>1141</v>
      </c>
      <c r="E364" t="s">
        <v>63</v>
      </c>
      <c r="F364" t="s">
        <v>441</v>
      </c>
      <c r="G364" t="s">
        <v>86</v>
      </c>
      <c r="H364" t="s">
        <v>57</v>
      </c>
      <c r="I364" t="s">
        <v>23</v>
      </c>
      <c r="J364" s="1">
        <v>3060</v>
      </c>
      <c r="K364" t="s">
        <v>23</v>
      </c>
      <c r="L364" t="s">
        <v>1403</v>
      </c>
      <c r="M364" t="s">
        <v>1404</v>
      </c>
      <c r="N364">
        <v>10</v>
      </c>
      <c r="O364">
        <v>141570</v>
      </c>
    </row>
    <row r="365" spans="1:15" x14ac:dyDescent="0.35">
      <c r="A365" t="s">
        <v>75</v>
      </c>
      <c r="B365" t="s">
        <v>52</v>
      </c>
      <c r="C365" t="s">
        <v>17</v>
      </c>
      <c r="D365" t="s">
        <v>1405</v>
      </c>
      <c r="E365" t="s">
        <v>507</v>
      </c>
      <c r="F365" t="s">
        <v>277</v>
      </c>
      <c r="G365" t="s">
        <v>90</v>
      </c>
      <c r="H365" t="s">
        <v>156</v>
      </c>
      <c r="I365" t="s">
        <v>58</v>
      </c>
      <c r="J365" s="1">
        <v>1910</v>
      </c>
      <c r="K365" t="s">
        <v>58</v>
      </c>
      <c r="L365" t="s">
        <v>1406</v>
      </c>
      <c r="M365" t="s">
        <v>60</v>
      </c>
      <c r="N365">
        <v>12</v>
      </c>
      <c r="O365">
        <v>123307</v>
      </c>
    </row>
    <row r="366" spans="1:15" x14ac:dyDescent="0.35">
      <c r="A366" t="s">
        <v>15</v>
      </c>
      <c r="B366" t="s">
        <v>16</v>
      </c>
      <c r="C366" t="s">
        <v>17</v>
      </c>
      <c r="D366" t="s">
        <v>389</v>
      </c>
      <c r="E366" t="s">
        <v>1407</v>
      </c>
      <c r="F366" t="s">
        <v>89</v>
      </c>
      <c r="G366" t="s">
        <v>48</v>
      </c>
      <c r="H366" t="s">
        <v>41</v>
      </c>
      <c r="I366" t="s">
        <v>23</v>
      </c>
      <c r="J366" s="1">
        <v>2760</v>
      </c>
      <c r="K366" t="s">
        <v>23</v>
      </c>
      <c r="L366" t="s">
        <v>1408</v>
      </c>
      <c r="M366" t="s">
        <v>60</v>
      </c>
      <c r="O366">
        <v>176279</v>
      </c>
    </row>
    <row r="367" spans="1:15" x14ac:dyDescent="0.35">
      <c r="A367" t="s">
        <v>15</v>
      </c>
      <c r="B367" t="s">
        <v>16</v>
      </c>
      <c r="C367" t="s">
        <v>36</v>
      </c>
      <c r="D367" t="s">
        <v>1409</v>
      </c>
      <c r="E367" t="s">
        <v>1410</v>
      </c>
      <c r="F367" t="s">
        <v>312</v>
      </c>
      <c r="G367" t="s">
        <v>1411</v>
      </c>
      <c r="H367" t="s">
        <v>41</v>
      </c>
      <c r="I367" t="s">
        <v>58</v>
      </c>
      <c r="J367" s="1">
        <v>25090</v>
      </c>
      <c r="K367" t="s">
        <v>58</v>
      </c>
      <c r="L367" t="s">
        <v>1412</v>
      </c>
      <c r="M367" t="s">
        <v>1413</v>
      </c>
      <c r="N367">
        <v>4</v>
      </c>
      <c r="O367">
        <v>155268.5</v>
      </c>
    </row>
    <row r="368" spans="1:15" x14ac:dyDescent="0.35">
      <c r="A368" t="s">
        <v>15</v>
      </c>
      <c r="B368" t="s">
        <v>16</v>
      </c>
      <c r="C368" t="s">
        <v>61</v>
      </c>
      <c r="D368" t="s">
        <v>1414</v>
      </c>
      <c r="E368" t="s">
        <v>1415</v>
      </c>
      <c r="F368" t="s">
        <v>399</v>
      </c>
      <c r="G368" t="s">
        <v>1342</v>
      </c>
      <c r="H368" t="s">
        <v>115</v>
      </c>
      <c r="I368" t="s">
        <v>58</v>
      </c>
      <c r="J368" s="1">
        <v>5674</v>
      </c>
      <c r="K368" t="s">
        <v>58</v>
      </c>
      <c r="L368" t="s">
        <v>1416</v>
      </c>
      <c r="M368" t="s">
        <v>1417</v>
      </c>
      <c r="N368">
        <v>5</v>
      </c>
      <c r="O368">
        <v>129408</v>
      </c>
    </row>
    <row r="369" spans="1:15" x14ac:dyDescent="0.35">
      <c r="A369" t="s">
        <v>15</v>
      </c>
      <c r="B369" t="s">
        <v>16</v>
      </c>
      <c r="C369" t="s">
        <v>61</v>
      </c>
      <c r="D369" t="s">
        <v>1418</v>
      </c>
      <c r="E369" t="s">
        <v>1419</v>
      </c>
      <c r="F369" t="s">
        <v>39</v>
      </c>
      <c r="G369" t="s">
        <v>56</v>
      </c>
      <c r="H369" t="s">
        <v>41</v>
      </c>
      <c r="I369" t="s">
        <v>23</v>
      </c>
      <c r="J369" s="1">
        <v>96050</v>
      </c>
      <c r="K369" t="s">
        <v>23</v>
      </c>
      <c r="L369" t="s">
        <v>1420</v>
      </c>
      <c r="M369" t="s">
        <v>256</v>
      </c>
      <c r="O369">
        <v>95902</v>
      </c>
    </row>
    <row r="370" spans="1:15" x14ac:dyDescent="0.35">
      <c r="A370" t="s">
        <v>15</v>
      </c>
      <c r="B370" t="s">
        <v>16</v>
      </c>
      <c r="C370" t="s">
        <v>17</v>
      </c>
      <c r="D370" t="s">
        <v>1421</v>
      </c>
      <c r="E370" t="s">
        <v>1422</v>
      </c>
      <c r="F370" t="s">
        <v>508</v>
      </c>
      <c r="G370" t="s">
        <v>1423</v>
      </c>
      <c r="H370" t="s">
        <v>32</v>
      </c>
      <c r="I370" t="s">
        <v>58</v>
      </c>
      <c r="J370">
        <v>300</v>
      </c>
      <c r="K370" t="s">
        <v>58</v>
      </c>
      <c r="L370" t="s">
        <v>1424</v>
      </c>
      <c r="M370" t="s">
        <v>60</v>
      </c>
      <c r="N370">
        <v>7</v>
      </c>
      <c r="O370">
        <v>67506.5</v>
      </c>
    </row>
    <row r="371" spans="1:15" x14ac:dyDescent="0.35">
      <c r="A371" t="s">
        <v>15</v>
      </c>
      <c r="B371" t="s">
        <v>16</v>
      </c>
      <c r="C371" t="s">
        <v>17</v>
      </c>
      <c r="D371" t="s">
        <v>1425</v>
      </c>
      <c r="E371" t="s">
        <v>1297</v>
      </c>
      <c r="F371" t="s">
        <v>125</v>
      </c>
      <c r="G371" t="s">
        <v>1426</v>
      </c>
      <c r="H371" t="s">
        <v>41</v>
      </c>
      <c r="I371" t="s">
        <v>58</v>
      </c>
      <c r="J371" s="1">
        <v>5780</v>
      </c>
      <c r="K371" t="s">
        <v>58</v>
      </c>
      <c r="L371" t="s">
        <v>1427</v>
      </c>
      <c r="M371" t="s">
        <v>1428</v>
      </c>
      <c r="N371">
        <v>14</v>
      </c>
      <c r="O371">
        <v>168969</v>
      </c>
    </row>
    <row r="372" spans="1:15" x14ac:dyDescent="0.35">
      <c r="A372" t="s">
        <v>15</v>
      </c>
      <c r="B372" t="s">
        <v>16</v>
      </c>
      <c r="C372" t="s">
        <v>17</v>
      </c>
      <c r="D372" t="s">
        <v>1429</v>
      </c>
      <c r="E372" t="s">
        <v>202</v>
      </c>
      <c r="F372" t="s">
        <v>1149</v>
      </c>
      <c r="G372" t="s">
        <v>204</v>
      </c>
      <c r="H372" t="s">
        <v>22</v>
      </c>
      <c r="I372" t="s">
        <v>23</v>
      </c>
      <c r="J372" s="1">
        <v>74020</v>
      </c>
      <c r="K372" t="s">
        <v>23</v>
      </c>
      <c r="L372" t="s">
        <v>1430</v>
      </c>
      <c r="M372" t="s">
        <v>1431</v>
      </c>
      <c r="N372">
        <v>18</v>
      </c>
      <c r="O372">
        <v>209611.5</v>
      </c>
    </row>
    <row r="373" spans="1:15" x14ac:dyDescent="0.35">
      <c r="A373" t="s">
        <v>15</v>
      </c>
      <c r="B373" t="s">
        <v>16</v>
      </c>
      <c r="C373" t="s">
        <v>36</v>
      </c>
      <c r="D373" t="s">
        <v>1432</v>
      </c>
      <c r="E373" t="s">
        <v>367</v>
      </c>
      <c r="F373" t="s">
        <v>244</v>
      </c>
      <c r="G373" t="s">
        <v>1183</v>
      </c>
      <c r="H373" t="s">
        <v>73</v>
      </c>
      <c r="I373" t="s">
        <v>61</v>
      </c>
      <c r="J373" s="1">
        <v>12609</v>
      </c>
      <c r="K373" t="s">
        <v>73</v>
      </c>
      <c r="L373" t="s">
        <v>1433</v>
      </c>
      <c r="M373" t="s">
        <v>81</v>
      </c>
      <c r="N373">
        <v>2</v>
      </c>
      <c r="O373">
        <v>74793</v>
      </c>
    </row>
    <row r="374" spans="1:15" x14ac:dyDescent="0.35">
      <c r="A374" t="s">
        <v>15</v>
      </c>
      <c r="B374" t="s">
        <v>16</v>
      </c>
      <c r="C374" t="s">
        <v>36</v>
      </c>
      <c r="D374" t="s">
        <v>1434</v>
      </c>
      <c r="E374" t="s">
        <v>1435</v>
      </c>
      <c r="F374" t="s">
        <v>244</v>
      </c>
      <c r="G374" t="s">
        <v>1291</v>
      </c>
      <c r="H374" t="s">
        <v>41</v>
      </c>
      <c r="I374" t="s">
        <v>58</v>
      </c>
      <c r="J374" s="1">
        <v>3550</v>
      </c>
      <c r="K374" t="s">
        <v>58</v>
      </c>
      <c r="L374" t="s">
        <v>1436</v>
      </c>
      <c r="M374" t="s">
        <v>1437</v>
      </c>
      <c r="N374">
        <v>2</v>
      </c>
      <c r="O374">
        <v>52067</v>
      </c>
    </row>
    <row r="375" spans="1:15" x14ac:dyDescent="0.35">
      <c r="A375" t="s">
        <v>15</v>
      </c>
      <c r="B375" t="s">
        <v>16</v>
      </c>
      <c r="C375" t="s">
        <v>36</v>
      </c>
      <c r="D375" t="s">
        <v>1438</v>
      </c>
      <c r="E375" t="s">
        <v>1439</v>
      </c>
      <c r="F375" t="s">
        <v>39</v>
      </c>
      <c r="G375" t="s">
        <v>866</v>
      </c>
      <c r="H375" t="s">
        <v>41</v>
      </c>
      <c r="I375" t="s">
        <v>58</v>
      </c>
      <c r="J375">
        <v>150</v>
      </c>
      <c r="K375" t="s">
        <v>58</v>
      </c>
      <c r="L375" t="s">
        <v>1440</v>
      </c>
      <c r="M375" t="s">
        <v>200</v>
      </c>
      <c r="O375">
        <v>63670.5</v>
      </c>
    </row>
    <row r="376" spans="1:15" x14ac:dyDescent="0.35">
      <c r="A376" t="s">
        <v>15</v>
      </c>
      <c r="B376" t="s">
        <v>16</v>
      </c>
      <c r="C376" t="s">
        <v>36</v>
      </c>
      <c r="D376" t="s">
        <v>1441</v>
      </c>
      <c r="E376" t="s">
        <v>161</v>
      </c>
      <c r="F376" t="s">
        <v>39</v>
      </c>
      <c r="G376" t="s">
        <v>150</v>
      </c>
      <c r="H376" t="s">
        <v>22</v>
      </c>
      <c r="I376" t="s">
        <v>23</v>
      </c>
      <c r="J376" s="1">
        <v>20600</v>
      </c>
      <c r="K376" t="s">
        <v>23</v>
      </c>
      <c r="L376" t="s">
        <v>1442</v>
      </c>
      <c r="M376" t="s">
        <v>1443</v>
      </c>
      <c r="O376">
        <v>59210</v>
      </c>
    </row>
    <row r="377" spans="1:15" x14ac:dyDescent="0.35">
      <c r="A377" t="s">
        <v>15</v>
      </c>
      <c r="B377" t="s">
        <v>16</v>
      </c>
      <c r="C377" t="s">
        <v>61</v>
      </c>
      <c r="D377" t="s">
        <v>1444</v>
      </c>
      <c r="E377" t="s">
        <v>995</v>
      </c>
      <c r="F377" t="s">
        <v>196</v>
      </c>
      <c r="G377" t="s">
        <v>65</v>
      </c>
      <c r="H377" t="s">
        <v>41</v>
      </c>
      <c r="I377" t="s">
        <v>23</v>
      </c>
      <c r="J377" s="1">
        <v>10040</v>
      </c>
      <c r="K377" t="s">
        <v>23</v>
      </c>
      <c r="L377" t="s">
        <v>1445</v>
      </c>
      <c r="M377" t="s">
        <v>1446</v>
      </c>
      <c r="N377">
        <v>7</v>
      </c>
      <c r="O377">
        <v>86976</v>
      </c>
    </row>
    <row r="378" spans="1:15" x14ac:dyDescent="0.35">
      <c r="A378" t="s">
        <v>15</v>
      </c>
      <c r="B378" t="s">
        <v>16</v>
      </c>
      <c r="C378" t="s">
        <v>61</v>
      </c>
      <c r="D378" t="s">
        <v>1447</v>
      </c>
      <c r="E378" t="s">
        <v>1448</v>
      </c>
      <c r="F378" t="s">
        <v>39</v>
      </c>
      <c r="G378" t="s">
        <v>1449</v>
      </c>
      <c r="H378" t="s">
        <v>41</v>
      </c>
      <c r="I378" t="s">
        <v>23</v>
      </c>
      <c r="J378" s="1">
        <v>2550</v>
      </c>
      <c r="K378" t="s">
        <v>23</v>
      </c>
      <c r="L378" t="s">
        <v>34</v>
      </c>
      <c r="M378" t="s">
        <v>1450</v>
      </c>
      <c r="O378">
        <v>118733</v>
      </c>
    </row>
    <row r="379" spans="1:15" x14ac:dyDescent="0.35">
      <c r="A379" t="s">
        <v>15</v>
      </c>
      <c r="B379" t="s">
        <v>16</v>
      </c>
      <c r="C379" t="s">
        <v>17</v>
      </c>
      <c r="D379" t="s">
        <v>1451</v>
      </c>
      <c r="E379" t="s">
        <v>1223</v>
      </c>
      <c r="F379" t="s">
        <v>196</v>
      </c>
      <c r="G379" t="s">
        <v>229</v>
      </c>
      <c r="H379" t="s">
        <v>115</v>
      </c>
      <c r="I379" t="s">
        <v>61</v>
      </c>
      <c r="J379" s="1">
        <v>1570</v>
      </c>
      <c r="K379" t="s">
        <v>960</v>
      </c>
      <c r="L379" t="s">
        <v>1452</v>
      </c>
      <c r="M379" t="s">
        <v>1453</v>
      </c>
      <c r="N379">
        <v>7</v>
      </c>
      <c r="O379">
        <v>88796</v>
      </c>
    </row>
    <row r="380" spans="1:15" x14ac:dyDescent="0.35">
      <c r="A380" t="s">
        <v>15</v>
      </c>
      <c r="B380" t="s">
        <v>16</v>
      </c>
      <c r="C380" t="s">
        <v>36</v>
      </c>
      <c r="D380" t="s">
        <v>558</v>
      </c>
      <c r="E380" t="s">
        <v>1454</v>
      </c>
      <c r="F380" t="s">
        <v>64</v>
      </c>
      <c r="G380" t="s">
        <v>560</v>
      </c>
      <c r="H380" t="s">
        <v>73</v>
      </c>
      <c r="I380" t="s">
        <v>61</v>
      </c>
      <c r="J380" s="1">
        <v>9260</v>
      </c>
      <c r="K380" t="s">
        <v>73</v>
      </c>
      <c r="L380" t="s">
        <v>1455</v>
      </c>
      <c r="M380" t="s">
        <v>81</v>
      </c>
      <c r="N380">
        <v>3</v>
      </c>
      <c r="O380">
        <v>80149</v>
      </c>
    </row>
    <row r="381" spans="1:15" x14ac:dyDescent="0.35">
      <c r="A381" t="s">
        <v>15</v>
      </c>
      <c r="B381" t="s">
        <v>99</v>
      </c>
      <c r="C381" t="s">
        <v>36</v>
      </c>
      <c r="D381" t="s">
        <v>1438</v>
      </c>
      <c r="E381" t="s">
        <v>324</v>
      </c>
      <c r="F381" t="s">
        <v>39</v>
      </c>
      <c r="G381" t="s">
        <v>866</v>
      </c>
      <c r="H381" t="s">
        <v>41</v>
      </c>
      <c r="I381" t="s">
        <v>58</v>
      </c>
      <c r="J381">
        <v>150</v>
      </c>
      <c r="K381" t="s">
        <v>58</v>
      </c>
      <c r="L381" t="s">
        <v>1456</v>
      </c>
      <c r="M381" t="s">
        <v>200</v>
      </c>
      <c r="O381">
        <v>89501.5</v>
      </c>
    </row>
    <row r="382" spans="1:15" x14ac:dyDescent="0.35">
      <c r="A382" t="s">
        <v>15</v>
      </c>
      <c r="B382" t="s">
        <v>16</v>
      </c>
      <c r="C382" t="s">
        <v>17</v>
      </c>
      <c r="D382" t="s">
        <v>1276</v>
      </c>
      <c r="E382" t="s">
        <v>507</v>
      </c>
      <c r="F382" t="s">
        <v>139</v>
      </c>
      <c r="G382" t="s">
        <v>40</v>
      </c>
      <c r="H382" t="s">
        <v>41</v>
      </c>
      <c r="I382" t="s">
        <v>58</v>
      </c>
      <c r="J382">
        <v>600</v>
      </c>
      <c r="K382" t="s">
        <v>58</v>
      </c>
      <c r="L382" t="s">
        <v>1457</v>
      </c>
      <c r="M382" t="s">
        <v>60</v>
      </c>
      <c r="N382">
        <v>13</v>
      </c>
      <c r="O382">
        <v>195456</v>
      </c>
    </row>
    <row r="383" spans="1:15" x14ac:dyDescent="0.35">
      <c r="A383" t="s">
        <v>15</v>
      </c>
      <c r="B383" t="s">
        <v>52</v>
      </c>
      <c r="C383" t="s">
        <v>36</v>
      </c>
      <c r="D383" t="s">
        <v>1458</v>
      </c>
      <c r="E383" t="s">
        <v>54</v>
      </c>
      <c r="F383" t="s">
        <v>125</v>
      </c>
      <c r="G383" t="s">
        <v>1459</v>
      </c>
      <c r="H383" t="s">
        <v>41</v>
      </c>
      <c r="I383" t="s">
        <v>23</v>
      </c>
      <c r="J383" s="1">
        <v>2270</v>
      </c>
      <c r="K383" t="s">
        <v>23</v>
      </c>
      <c r="L383" t="s">
        <v>1460</v>
      </c>
      <c r="M383" t="s">
        <v>60</v>
      </c>
      <c r="N383">
        <v>14</v>
      </c>
      <c r="O383">
        <v>133537</v>
      </c>
    </row>
    <row r="384" spans="1:15" x14ac:dyDescent="0.35">
      <c r="A384" t="s">
        <v>15</v>
      </c>
      <c r="B384" t="s">
        <v>27</v>
      </c>
      <c r="C384" t="s">
        <v>17</v>
      </c>
      <c r="D384" t="s">
        <v>1461</v>
      </c>
      <c r="E384" t="s">
        <v>1223</v>
      </c>
      <c r="F384" t="s">
        <v>78</v>
      </c>
      <c r="G384" t="s">
        <v>758</v>
      </c>
      <c r="H384" t="s">
        <v>320</v>
      </c>
      <c r="I384" t="s">
        <v>58</v>
      </c>
      <c r="J384" s="1">
        <v>1260</v>
      </c>
      <c r="K384" t="s">
        <v>58</v>
      </c>
      <c r="L384" t="s">
        <v>1462</v>
      </c>
      <c r="M384" t="s">
        <v>60</v>
      </c>
      <c r="N384">
        <v>9</v>
      </c>
      <c r="O384">
        <v>228339.5</v>
      </c>
    </row>
    <row r="385" spans="1:15" x14ac:dyDescent="0.35">
      <c r="A385" t="s">
        <v>15</v>
      </c>
      <c r="B385" t="s">
        <v>16</v>
      </c>
      <c r="C385" t="s">
        <v>36</v>
      </c>
      <c r="D385" t="s">
        <v>1463</v>
      </c>
      <c r="E385" t="s">
        <v>165</v>
      </c>
      <c r="F385" t="s">
        <v>312</v>
      </c>
      <c r="G385" t="s">
        <v>90</v>
      </c>
      <c r="H385" t="s">
        <v>22</v>
      </c>
      <c r="I385" t="s">
        <v>23</v>
      </c>
      <c r="J385" s="1">
        <v>117030</v>
      </c>
      <c r="K385" t="s">
        <v>23</v>
      </c>
      <c r="L385" t="s">
        <v>1464</v>
      </c>
      <c r="M385" t="s">
        <v>1465</v>
      </c>
      <c r="N385">
        <v>4</v>
      </c>
      <c r="O385">
        <v>153276.5</v>
      </c>
    </row>
    <row r="386" spans="1:15" x14ac:dyDescent="0.35">
      <c r="A386" t="s">
        <v>15</v>
      </c>
      <c r="B386" t="s">
        <v>16</v>
      </c>
      <c r="C386" t="s">
        <v>17</v>
      </c>
      <c r="D386" t="s">
        <v>1466</v>
      </c>
      <c r="E386" t="s">
        <v>1297</v>
      </c>
      <c r="F386" t="s">
        <v>196</v>
      </c>
      <c r="G386" t="s">
        <v>65</v>
      </c>
      <c r="H386" t="s">
        <v>73</v>
      </c>
      <c r="I386" t="s">
        <v>61</v>
      </c>
      <c r="J386" s="1">
        <v>3510</v>
      </c>
      <c r="K386" t="s">
        <v>73</v>
      </c>
      <c r="L386" t="s">
        <v>1467</v>
      </c>
      <c r="M386" t="s">
        <v>1468</v>
      </c>
      <c r="N386">
        <v>7</v>
      </c>
      <c r="O386">
        <v>142939.5</v>
      </c>
    </row>
    <row r="387" spans="1:15" x14ac:dyDescent="0.35">
      <c r="A387" t="s">
        <v>15</v>
      </c>
      <c r="B387" t="s">
        <v>69</v>
      </c>
      <c r="C387" t="s">
        <v>61</v>
      </c>
      <c r="D387" t="s">
        <v>1469</v>
      </c>
      <c r="E387" t="s">
        <v>248</v>
      </c>
      <c r="F387" t="s">
        <v>85</v>
      </c>
      <c r="G387" t="s">
        <v>249</v>
      </c>
      <c r="H387" t="s">
        <v>57</v>
      </c>
      <c r="I387" t="s">
        <v>61</v>
      </c>
      <c r="J387">
        <v>600</v>
      </c>
      <c r="K387" t="s">
        <v>960</v>
      </c>
      <c r="L387" t="s">
        <v>1470</v>
      </c>
      <c r="M387" t="s">
        <v>1471</v>
      </c>
      <c r="N387">
        <v>6</v>
      </c>
      <c r="O387">
        <v>100471</v>
      </c>
    </row>
    <row r="388" spans="1:15" x14ac:dyDescent="0.35">
      <c r="A388" t="s">
        <v>15</v>
      </c>
      <c r="B388" t="s">
        <v>16</v>
      </c>
      <c r="C388" t="s">
        <v>17</v>
      </c>
      <c r="D388" t="s">
        <v>1340</v>
      </c>
      <c r="E388" t="s">
        <v>1341</v>
      </c>
      <c r="F388" t="s">
        <v>39</v>
      </c>
      <c r="G388" t="s">
        <v>1342</v>
      </c>
      <c r="H388" t="s">
        <v>41</v>
      </c>
      <c r="I388" t="s">
        <v>58</v>
      </c>
      <c r="J388">
        <v>150</v>
      </c>
      <c r="K388" t="s">
        <v>58</v>
      </c>
      <c r="L388" t="s">
        <v>1472</v>
      </c>
      <c r="M388" t="s">
        <v>60</v>
      </c>
      <c r="O388">
        <v>173535.5</v>
      </c>
    </row>
    <row r="389" spans="1:15" x14ac:dyDescent="0.35">
      <c r="A389" t="s">
        <v>15</v>
      </c>
      <c r="B389" t="s">
        <v>16</v>
      </c>
      <c r="C389" t="s">
        <v>61</v>
      </c>
      <c r="D389" t="s">
        <v>1368</v>
      </c>
      <c r="E389" t="s">
        <v>618</v>
      </c>
      <c r="F389" t="s">
        <v>125</v>
      </c>
      <c r="G389" t="s">
        <v>90</v>
      </c>
      <c r="H389" t="s">
        <v>57</v>
      </c>
      <c r="I389" t="s">
        <v>58</v>
      </c>
      <c r="J389">
        <v>700</v>
      </c>
      <c r="K389" t="s">
        <v>58</v>
      </c>
      <c r="L389" t="s">
        <v>1473</v>
      </c>
      <c r="M389" t="s">
        <v>1370</v>
      </c>
      <c r="N389">
        <v>14</v>
      </c>
      <c r="O389">
        <v>197511.5</v>
      </c>
    </row>
    <row r="390" spans="1:15" x14ac:dyDescent="0.35">
      <c r="A390" t="s">
        <v>15</v>
      </c>
      <c r="B390" t="s">
        <v>16</v>
      </c>
      <c r="C390" t="s">
        <v>82</v>
      </c>
      <c r="D390" t="s">
        <v>1474</v>
      </c>
      <c r="E390" t="s">
        <v>1475</v>
      </c>
      <c r="F390" t="s">
        <v>125</v>
      </c>
      <c r="G390" t="s">
        <v>249</v>
      </c>
      <c r="H390" t="s">
        <v>41</v>
      </c>
      <c r="I390" t="s">
        <v>58</v>
      </c>
      <c r="J390">
        <v>210</v>
      </c>
      <c r="K390" t="s">
        <v>58</v>
      </c>
      <c r="L390" t="s">
        <v>1476</v>
      </c>
      <c r="M390" t="s">
        <v>60</v>
      </c>
      <c r="N390">
        <v>14</v>
      </c>
      <c r="O390">
        <v>187237</v>
      </c>
    </row>
    <row r="391" spans="1:15" x14ac:dyDescent="0.35">
      <c r="A391" t="s">
        <v>15</v>
      </c>
      <c r="B391" t="s">
        <v>16</v>
      </c>
      <c r="C391" t="s">
        <v>82</v>
      </c>
      <c r="D391" t="s">
        <v>1477</v>
      </c>
      <c r="E391" t="s">
        <v>462</v>
      </c>
      <c r="F391" t="s">
        <v>196</v>
      </c>
      <c r="G391" t="s">
        <v>1478</v>
      </c>
      <c r="H391" t="s">
        <v>115</v>
      </c>
      <c r="I391" t="s">
        <v>61</v>
      </c>
      <c r="J391" s="1">
        <v>120010</v>
      </c>
      <c r="K391" t="s">
        <v>960</v>
      </c>
      <c r="L391" t="s">
        <v>1479</v>
      </c>
      <c r="M391" t="s">
        <v>1480</v>
      </c>
      <c r="N391">
        <v>7</v>
      </c>
      <c r="O391">
        <v>159835</v>
      </c>
    </row>
    <row r="392" spans="1:15" x14ac:dyDescent="0.35">
      <c r="A392" t="s">
        <v>15</v>
      </c>
      <c r="B392" t="s">
        <v>27</v>
      </c>
      <c r="C392" t="s">
        <v>61</v>
      </c>
      <c r="D392" t="s">
        <v>168</v>
      </c>
      <c r="E392" t="s">
        <v>1481</v>
      </c>
      <c r="F392" t="s">
        <v>196</v>
      </c>
      <c r="G392" t="s">
        <v>169</v>
      </c>
      <c r="H392" t="s">
        <v>41</v>
      </c>
      <c r="I392" t="s">
        <v>23</v>
      </c>
      <c r="J392" s="1">
        <v>222040</v>
      </c>
      <c r="K392" t="s">
        <v>1482</v>
      </c>
      <c r="L392" t="s">
        <v>1483</v>
      </c>
      <c r="M392" t="s">
        <v>172</v>
      </c>
      <c r="N392">
        <v>7</v>
      </c>
      <c r="O392">
        <v>10053</v>
      </c>
    </row>
    <row r="393" spans="1:15" x14ac:dyDescent="0.35">
      <c r="A393" t="s">
        <v>15</v>
      </c>
      <c r="B393" t="s">
        <v>16</v>
      </c>
      <c r="C393" t="s">
        <v>17</v>
      </c>
      <c r="D393" t="s">
        <v>1484</v>
      </c>
      <c r="E393" t="s">
        <v>1485</v>
      </c>
      <c r="F393" t="s">
        <v>39</v>
      </c>
      <c r="G393" t="s">
        <v>102</v>
      </c>
      <c r="H393" t="s">
        <v>41</v>
      </c>
      <c r="I393" t="s">
        <v>58</v>
      </c>
      <c r="J393">
        <v>98</v>
      </c>
      <c r="K393" t="s">
        <v>58</v>
      </c>
      <c r="L393" t="s">
        <v>1486</v>
      </c>
      <c r="M393" t="s">
        <v>60</v>
      </c>
      <c r="O393">
        <v>137007</v>
      </c>
    </row>
    <row r="394" spans="1:15" x14ac:dyDescent="0.35">
      <c r="A394" t="s">
        <v>75</v>
      </c>
      <c r="B394" t="s">
        <v>16</v>
      </c>
      <c r="C394" t="s">
        <v>36</v>
      </c>
      <c r="D394" t="s">
        <v>214</v>
      </c>
      <c r="E394" t="s">
        <v>161</v>
      </c>
      <c r="F394" t="s">
        <v>39</v>
      </c>
      <c r="G394" t="s">
        <v>215</v>
      </c>
      <c r="H394" t="s">
        <v>41</v>
      </c>
      <c r="I394" t="s">
        <v>58</v>
      </c>
      <c r="J394" s="1">
        <v>26030</v>
      </c>
      <c r="K394" t="s">
        <v>58</v>
      </c>
      <c r="L394" t="s">
        <v>1487</v>
      </c>
      <c r="M394" t="s">
        <v>1488</v>
      </c>
      <c r="O394">
        <v>155274.5</v>
      </c>
    </row>
    <row r="395" spans="1:15" x14ac:dyDescent="0.35">
      <c r="A395" t="s">
        <v>75</v>
      </c>
      <c r="B395" t="s">
        <v>16</v>
      </c>
      <c r="C395" t="s">
        <v>17</v>
      </c>
      <c r="D395" t="s">
        <v>1489</v>
      </c>
      <c r="E395" t="s">
        <v>1490</v>
      </c>
      <c r="F395" t="s">
        <v>85</v>
      </c>
      <c r="G395" t="s">
        <v>90</v>
      </c>
      <c r="H395" t="s">
        <v>41</v>
      </c>
      <c r="I395" t="s">
        <v>58</v>
      </c>
      <c r="J395">
        <v>630</v>
      </c>
      <c r="K395" t="s">
        <v>1491</v>
      </c>
      <c r="L395" t="s">
        <v>1492</v>
      </c>
      <c r="M395" t="s">
        <v>60</v>
      </c>
      <c r="N395">
        <v>6</v>
      </c>
      <c r="O395">
        <v>98012</v>
      </c>
    </row>
    <row r="396" spans="1:15" x14ac:dyDescent="0.35">
      <c r="A396" t="s">
        <v>15</v>
      </c>
      <c r="B396" t="s">
        <v>16</v>
      </c>
      <c r="C396" t="s">
        <v>36</v>
      </c>
      <c r="D396" t="s">
        <v>762</v>
      </c>
      <c r="E396" t="s">
        <v>128</v>
      </c>
      <c r="F396" t="s">
        <v>125</v>
      </c>
      <c r="G396" t="s">
        <v>764</v>
      </c>
      <c r="H396" t="s">
        <v>115</v>
      </c>
      <c r="I396" t="s">
        <v>23</v>
      </c>
      <c r="J396" s="1">
        <v>37960</v>
      </c>
      <c r="K396" t="s">
        <v>23</v>
      </c>
      <c r="L396" t="s">
        <v>1493</v>
      </c>
      <c r="M396" t="s">
        <v>1494</v>
      </c>
      <c r="N396">
        <v>14</v>
      </c>
      <c r="O396">
        <v>31349</v>
      </c>
    </row>
    <row r="397" spans="1:15" x14ac:dyDescent="0.35">
      <c r="A397" t="s">
        <v>15</v>
      </c>
      <c r="B397" t="s">
        <v>16</v>
      </c>
      <c r="C397" t="s">
        <v>17</v>
      </c>
      <c r="D397" t="s">
        <v>1276</v>
      </c>
      <c r="E397" t="s">
        <v>1495</v>
      </c>
      <c r="F397" t="s">
        <v>85</v>
      </c>
      <c r="G397" t="s">
        <v>40</v>
      </c>
      <c r="H397" t="s">
        <v>41</v>
      </c>
      <c r="I397" t="s">
        <v>58</v>
      </c>
      <c r="J397">
        <v>600</v>
      </c>
      <c r="K397" t="s">
        <v>58</v>
      </c>
      <c r="L397" t="s">
        <v>1496</v>
      </c>
      <c r="M397" t="s">
        <v>60</v>
      </c>
      <c r="N397">
        <v>6</v>
      </c>
      <c r="O397">
        <v>220119</v>
      </c>
    </row>
    <row r="398" spans="1:15" x14ac:dyDescent="0.35">
      <c r="A398" t="s">
        <v>15</v>
      </c>
      <c r="B398" t="s">
        <v>16</v>
      </c>
      <c r="C398" t="s">
        <v>61</v>
      </c>
      <c r="D398" t="s">
        <v>1497</v>
      </c>
      <c r="E398" t="s">
        <v>1498</v>
      </c>
      <c r="F398" t="s">
        <v>196</v>
      </c>
      <c r="G398" t="s">
        <v>594</v>
      </c>
      <c r="H398" t="s">
        <v>156</v>
      </c>
      <c r="I398" t="s">
        <v>23</v>
      </c>
      <c r="J398" s="1">
        <v>12270</v>
      </c>
      <c r="K398" t="s">
        <v>1499</v>
      </c>
      <c r="L398" t="s">
        <v>1500</v>
      </c>
      <c r="M398" t="s">
        <v>1501</v>
      </c>
      <c r="N398">
        <v>7</v>
      </c>
      <c r="O398">
        <v>138373.5</v>
      </c>
    </row>
    <row r="399" spans="1:15" x14ac:dyDescent="0.35">
      <c r="A399" t="s">
        <v>75</v>
      </c>
      <c r="B399" t="s">
        <v>16</v>
      </c>
      <c r="C399" t="s">
        <v>17</v>
      </c>
      <c r="D399" t="s">
        <v>1320</v>
      </c>
      <c r="E399" t="s">
        <v>1502</v>
      </c>
      <c r="F399" t="s">
        <v>196</v>
      </c>
      <c r="G399" t="s">
        <v>1322</v>
      </c>
      <c r="H399" t="s">
        <v>115</v>
      </c>
      <c r="I399" t="s">
        <v>23</v>
      </c>
      <c r="J399" s="1">
        <v>22060</v>
      </c>
      <c r="K399" t="s">
        <v>23</v>
      </c>
      <c r="L399" t="s">
        <v>1503</v>
      </c>
      <c r="M399" t="s">
        <v>1504</v>
      </c>
      <c r="N399">
        <v>7</v>
      </c>
      <c r="O399">
        <v>120845</v>
      </c>
    </row>
    <row r="400" spans="1:15" x14ac:dyDescent="0.35">
      <c r="A400" t="s">
        <v>15</v>
      </c>
      <c r="B400" t="s">
        <v>27</v>
      </c>
      <c r="C400" t="s">
        <v>36</v>
      </c>
      <c r="D400" t="s">
        <v>485</v>
      </c>
      <c r="E400" t="s">
        <v>63</v>
      </c>
      <c r="F400" t="s">
        <v>399</v>
      </c>
      <c r="G400" t="s">
        <v>65</v>
      </c>
      <c r="H400" t="s">
        <v>22</v>
      </c>
      <c r="I400" t="s">
        <v>23</v>
      </c>
      <c r="J400" s="1">
        <v>130040</v>
      </c>
      <c r="K400" t="s">
        <v>1505</v>
      </c>
      <c r="L400" t="s">
        <v>835</v>
      </c>
      <c r="M400" t="s">
        <v>118</v>
      </c>
      <c r="N400">
        <v>5</v>
      </c>
      <c r="O400">
        <v>137000</v>
      </c>
    </row>
    <row r="401" spans="1:15" x14ac:dyDescent="0.35">
      <c r="A401" t="s">
        <v>15</v>
      </c>
      <c r="B401" t="s">
        <v>16</v>
      </c>
      <c r="C401" t="s">
        <v>36</v>
      </c>
      <c r="D401" t="s">
        <v>76</v>
      </c>
      <c r="E401" t="s">
        <v>1506</v>
      </c>
      <c r="F401" t="s">
        <v>196</v>
      </c>
      <c r="G401" t="s">
        <v>79</v>
      </c>
      <c r="H401" t="s">
        <v>41</v>
      </c>
      <c r="I401" t="s">
        <v>23</v>
      </c>
      <c r="J401">
        <v>900</v>
      </c>
      <c r="K401" t="s">
        <v>23</v>
      </c>
      <c r="L401" t="s">
        <v>1507</v>
      </c>
      <c r="M401" t="s">
        <v>1508</v>
      </c>
      <c r="N401">
        <v>7</v>
      </c>
      <c r="O401">
        <v>126955</v>
      </c>
    </row>
    <row r="402" spans="1:15" x14ac:dyDescent="0.35">
      <c r="A402" t="s">
        <v>15</v>
      </c>
      <c r="B402" t="s">
        <v>16</v>
      </c>
      <c r="C402" t="s">
        <v>36</v>
      </c>
      <c r="D402" t="s">
        <v>371</v>
      </c>
      <c r="E402" t="s">
        <v>1509</v>
      </c>
      <c r="F402" t="s">
        <v>89</v>
      </c>
      <c r="G402" t="s">
        <v>204</v>
      </c>
      <c r="H402" t="s">
        <v>22</v>
      </c>
      <c r="I402" t="s">
        <v>23</v>
      </c>
      <c r="J402" s="1">
        <v>865436</v>
      </c>
      <c r="K402" t="s">
        <v>1510</v>
      </c>
      <c r="L402" t="s">
        <v>1511</v>
      </c>
      <c r="M402" t="s">
        <v>1512</v>
      </c>
      <c r="O402">
        <v>166228</v>
      </c>
    </row>
    <row r="403" spans="1:15" x14ac:dyDescent="0.35">
      <c r="A403" t="s">
        <v>15</v>
      </c>
      <c r="B403" t="s">
        <v>16</v>
      </c>
      <c r="C403" t="s">
        <v>36</v>
      </c>
      <c r="D403" t="s">
        <v>1399</v>
      </c>
      <c r="E403" t="s">
        <v>1513</v>
      </c>
      <c r="F403" t="s">
        <v>113</v>
      </c>
      <c r="G403" t="s">
        <v>65</v>
      </c>
      <c r="H403" t="s">
        <v>41</v>
      </c>
      <c r="I403" t="s">
        <v>23</v>
      </c>
      <c r="J403" s="1">
        <v>26630</v>
      </c>
      <c r="K403" t="s">
        <v>23</v>
      </c>
      <c r="L403" t="s">
        <v>1514</v>
      </c>
      <c r="M403" t="s">
        <v>1515</v>
      </c>
      <c r="N403">
        <v>19</v>
      </c>
      <c r="O403">
        <v>143853.5</v>
      </c>
    </row>
    <row r="404" spans="1:15" x14ac:dyDescent="0.35">
      <c r="A404" t="s">
        <v>15</v>
      </c>
      <c r="B404" t="s">
        <v>99</v>
      </c>
      <c r="C404" t="s">
        <v>36</v>
      </c>
      <c r="D404" t="s">
        <v>650</v>
      </c>
      <c r="E404" t="s">
        <v>1516</v>
      </c>
      <c r="F404" t="s">
        <v>39</v>
      </c>
      <c r="G404" t="s">
        <v>95</v>
      </c>
      <c r="H404" t="s">
        <v>57</v>
      </c>
      <c r="I404" t="s">
        <v>23</v>
      </c>
      <c r="J404" s="1">
        <v>274280</v>
      </c>
      <c r="K404" t="s">
        <v>1517</v>
      </c>
      <c r="L404" t="s">
        <v>1518</v>
      </c>
      <c r="M404" t="s">
        <v>1519</v>
      </c>
      <c r="O404">
        <v>20926</v>
      </c>
    </row>
    <row r="405" spans="1:15" x14ac:dyDescent="0.35">
      <c r="A405" t="s">
        <v>15</v>
      </c>
      <c r="B405" t="s">
        <v>16</v>
      </c>
      <c r="C405" t="s">
        <v>82</v>
      </c>
      <c r="D405" t="s">
        <v>1477</v>
      </c>
      <c r="E405" t="s">
        <v>1520</v>
      </c>
      <c r="F405" t="s">
        <v>196</v>
      </c>
      <c r="G405" t="s">
        <v>1478</v>
      </c>
      <c r="H405" t="s">
        <v>115</v>
      </c>
      <c r="I405" t="s">
        <v>61</v>
      </c>
      <c r="J405" s="1">
        <v>120040</v>
      </c>
      <c r="K405" t="s">
        <v>960</v>
      </c>
      <c r="L405" t="s">
        <v>1521</v>
      </c>
      <c r="M405" t="s">
        <v>1480</v>
      </c>
      <c r="N405">
        <v>7</v>
      </c>
      <c r="O405">
        <v>159834</v>
      </c>
    </row>
    <row r="406" spans="1:15" x14ac:dyDescent="0.35">
      <c r="A406" t="s">
        <v>15</v>
      </c>
      <c r="B406" t="s">
        <v>16</v>
      </c>
      <c r="C406" t="s">
        <v>82</v>
      </c>
      <c r="D406" t="s">
        <v>384</v>
      </c>
      <c r="E406" t="s">
        <v>385</v>
      </c>
      <c r="F406" t="s">
        <v>125</v>
      </c>
      <c r="G406" t="s">
        <v>386</v>
      </c>
      <c r="H406" t="s">
        <v>41</v>
      </c>
      <c r="I406" t="s">
        <v>23</v>
      </c>
      <c r="J406" s="1">
        <v>108650</v>
      </c>
      <c r="K406" t="s">
        <v>1522</v>
      </c>
      <c r="L406" t="s">
        <v>1523</v>
      </c>
      <c r="M406" t="s">
        <v>81</v>
      </c>
      <c r="N406">
        <v>14</v>
      </c>
      <c r="O406">
        <v>116457</v>
      </c>
    </row>
    <row r="407" spans="1:15" x14ac:dyDescent="0.35">
      <c r="A407" t="s">
        <v>15</v>
      </c>
      <c r="B407" t="s">
        <v>16</v>
      </c>
      <c r="C407" t="s">
        <v>61</v>
      </c>
      <c r="D407" t="s">
        <v>609</v>
      </c>
      <c r="E407" t="s">
        <v>1524</v>
      </c>
      <c r="F407" t="s">
        <v>312</v>
      </c>
      <c r="G407" t="s">
        <v>610</v>
      </c>
      <c r="H407" t="s">
        <v>115</v>
      </c>
      <c r="I407" t="s">
        <v>58</v>
      </c>
      <c r="J407" s="1">
        <v>76010</v>
      </c>
      <c r="K407" t="s">
        <v>58</v>
      </c>
      <c r="L407" t="s">
        <v>1525</v>
      </c>
      <c r="M407" t="s">
        <v>1526</v>
      </c>
      <c r="N407">
        <v>4</v>
      </c>
      <c r="O407">
        <v>83056.5</v>
      </c>
    </row>
    <row r="408" spans="1:15" x14ac:dyDescent="0.35">
      <c r="A408" t="s">
        <v>15</v>
      </c>
      <c r="B408" t="s">
        <v>16</v>
      </c>
      <c r="C408" t="s">
        <v>17</v>
      </c>
      <c r="D408" t="s">
        <v>1527</v>
      </c>
      <c r="E408" t="s">
        <v>1528</v>
      </c>
      <c r="F408" t="s">
        <v>39</v>
      </c>
      <c r="G408" t="s">
        <v>1529</v>
      </c>
      <c r="H408" t="s">
        <v>115</v>
      </c>
      <c r="I408" t="s">
        <v>58</v>
      </c>
      <c r="J408">
        <v>240</v>
      </c>
      <c r="K408" t="s">
        <v>58</v>
      </c>
      <c r="L408" t="s">
        <v>1530</v>
      </c>
      <c r="M408" t="s">
        <v>60</v>
      </c>
      <c r="O408">
        <v>146140</v>
      </c>
    </row>
    <row r="409" spans="1:15" x14ac:dyDescent="0.35">
      <c r="A409" t="s">
        <v>15</v>
      </c>
      <c r="B409" t="s">
        <v>16</v>
      </c>
      <c r="C409" t="s">
        <v>61</v>
      </c>
      <c r="D409" t="s">
        <v>1531</v>
      </c>
      <c r="E409" t="s">
        <v>743</v>
      </c>
      <c r="F409" t="s">
        <v>431</v>
      </c>
      <c r="G409" t="s">
        <v>412</v>
      </c>
      <c r="H409" t="s">
        <v>41</v>
      </c>
      <c r="I409" t="s">
        <v>23</v>
      </c>
      <c r="J409" s="1">
        <v>17040</v>
      </c>
      <c r="K409" t="s">
        <v>1532</v>
      </c>
      <c r="L409" t="s">
        <v>1533</v>
      </c>
      <c r="M409" t="s">
        <v>206</v>
      </c>
      <c r="N409">
        <v>21</v>
      </c>
      <c r="O409">
        <v>168973</v>
      </c>
    </row>
    <row r="410" spans="1:15" x14ac:dyDescent="0.35">
      <c r="A410" t="s">
        <v>15</v>
      </c>
      <c r="B410" t="s">
        <v>52</v>
      </c>
      <c r="C410" t="s">
        <v>82</v>
      </c>
      <c r="D410" t="s">
        <v>1534</v>
      </c>
      <c r="E410" t="s">
        <v>84</v>
      </c>
      <c r="F410" t="s">
        <v>399</v>
      </c>
      <c r="G410" t="s">
        <v>90</v>
      </c>
      <c r="H410" t="s">
        <v>57</v>
      </c>
      <c r="I410" t="s">
        <v>58</v>
      </c>
      <c r="J410">
        <v>457</v>
      </c>
      <c r="K410" t="s">
        <v>58</v>
      </c>
      <c r="L410" t="s">
        <v>1535</v>
      </c>
      <c r="M410" t="s">
        <v>60</v>
      </c>
      <c r="N410">
        <v>5</v>
      </c>
      <c r="O410">
        <v>133808</v>
      </c>
    </row>
    <row r="411" spans="1:15" x14ac:dyDescent="0.35">
      <c r="A411" t="s">
        <v>15</v>
      </c>
      <c r="B411" t="s">
        <v>27</v>
      </c>
      <c r="C411" t="s">
        <v>17</v>
      </c>
      <c r="D411" t="s">
        <v>1536</v>
      </c>
      <c r="E411" t="s">
        <v>1537</v>
      </c>
      <c r="F411" t="s">
        <v>125</v>
      </c>
      <c r="G411" t="s">
        <v>1538</v>
      </c>
      <c r="H411" t="s">
        <v>156</v>
      </c>
      <c r="I411" t="s">
        <v>58</v>
      </c>
      <c r="J411">
        <v>240</v>
      </c>
      <c r="K411" t="s">
        <v>58</v>
      </c>
      <c r="L411" t="s">
        <v>1539</v>
      </c>
      <c r="M411" t="s">
        <v>60</v>
      </c>
      <c r="N411">
        <v>14</v>
      </c>
      <c r="O411">
        <v>137006.5</v>
      </c>
    </row>
    <row r="412" spans="1:15" x14ac:dyDescent="0.35">
      <c r="A412" t="s">
        <v>15</v>
      </c>
      <c r="B412" t="s">
        <v>16</v>
      </c>
      <c r="C412" t="s">
        <v>17</v>
      </c>
      <c r="D412" t="s">
        <v>1068</v>
      </c>
      <c r="E412" t="s">
        <v>1540</v>
      </c>
      <c r="F412" t="s">
        <v>39</v>
      </c>
      <c r="G412" t="s">
        <v>594</v>
      </c>
      <c r="H412" t="s">
        <v>57</v>
      </c>
      <c r="I412" t="s">
        <v>23</v>
      </c>
      <c r="J412" s="1">
        <v>29490</v>
      </c>
      <c r="K412" t="s">
        <v>23</v>
      </c>
      <c r="L412" t="s">
        <v>1541</v>
      </c>
      <c r="M412" t="s">
        <v>200</v>
      </c>
      <c r="O412">
        <v>73454</v>
      </c>
    </row>
    <row r="413" spans="1:15" x14ac:dyDescent="0.35">
      <c r="A413" t="s">
        <v>15</v>
      </c>
      <c r="B413" t="s">
        <v>99</v>
      </c>
      <c r="C413" t="s">
        <v>61</v>
      </c>
      <c r="D413" t="s">
        <v>579</v>
      </c>
      <c r="E413" t="s">
        <v>1542</v>
      </c>
      <c r="F413" t="s">
        <v>39</v>
      </c>
      <c r="G413" t="s">
        <v>580</v>
      </c>
      <c r="H413" t="s">
        <v>41</v>
      </c>
      <c r="I413" t="s">
        <v>23</v>
      </c>
      <c r="J413" s="1">
        <v>27420</v>
      </c>
      <c r="K413" t="s">
        <v>23</v>
      </c>
      <c r="L413" t="s">
        <v>1543</v>
      </c>
      <c r="M413" t="s">
        <v>1544</v>
      </c>
      <c r="O413">
        <v>115011.5</v>
      </c>
    </row>
    <row r="414" spans="1:15" x14ac:dyDescent="0.35">
      <c r="A414" t="s">
        <v>15</v>
      </c>
      <c r="B414" t="s">
        <v>16</v>
      </c>
      <c r="C414" t="s">
        <v>82</v>
      </c>
      <c r="D414" t="s">
        <v>1157</v>
      </c>
      <c r="E414" t="s">
        <v>84</v>
      </c>
      <c r="F414" t="s">
        <v>113</v>
      </c>
      <c r="G414" t="s">
        <v>90</v>
      </c>
      <c r="H414" t="s">
        <v>41</v>
      </c>
      <c r="I414" t="s">
        <v>58</v>
      </c>
      <c r="J414">
        <v>45</v>
      </c>
      <c r="K414" t="s">
        <v>58</v>
      </c>
      <c r="L414" t="s">
        <v>1545</v>
      </c>
      <c r="M414" t="s">
        <v>60</v>
      </c>
      <c r="N414">
        <v>19</v>
      </c>
      <c r="O414">
        <v>166682.5</v>
      </c>
    </row>
    <row r="415" spans="1:15" x14ac:dyDescent="0.35">
      <c r="A415" t="s">
        <v>15</v>
      </c>
      <c r="B415" t="s">
        <v>16</v>
      </c>
      <c r="C415" t="s">
        <v>36</v>
      </c>
      <c r="D415" t="s">
        <v>831</v>
      </c>
      <c r="E415" t="s">
        <v>1546</v>
      </c>
      <c r="F415" t="s">
        <v>125</v>
      </c>
      <c r="G415" t="s">
        <v>90</v>
      </c>
      <c r="H415" t="s">
        <v>41</v>
      </c>
      <c r="I415" t="s">
        <v>23</v>
      </c>
      <c r="J415" s="1">
        <v>65810</v>
      </c>
      <c r="K415" t="s">
        <v>832</v>
      </c>
      <c r="L415" t="s">
        <v>1547</v>
      </c>
      <c r="M415" t="s">
        <v>51</v>
      </c>
      <c r="N415">
        <v>14</v>
      </c>
      <c r="O415">
        <v>170618</v>
      </c>
    </row>
    <row r="416" spans="1:15" x14ac:dyDescent="0.35">
      <c r="A416" t="s">
        <v>15</v>
      </c>
      <c r="B416" t="s">
        <v>16</v>
      </c>
      <c r="C416" t="s">
        <v>17</v>
      </c>
      <c r="D416" t="s">
        <v>1548</v>
      </c>
      <c r="E416" t="s">
        <v>1549</v>
      </c>
      <c r="F416" t="s">
        <v>847</v>
      </c>
      <c r="G416" t="s">
        <v>1550</v>
      </c>
      <c r="H416" t="s">
        <v>115</v>
      </c>
      <c r="I416" t="s">
        <v>23</v>
      </c>
      <c r="J416" s="1">
        <v>107710</v>
      </c>
      <c r="K416" t="s">
        <v>1551</v>
      </c>
      <c r="L416" t="s">
        <v>1552</v>
      </c>
      <c r="M416" t="s">
        <v>189</v>
      </c>
      <c r="N416">
        <v>16</v>
      </c>
      <c r="O416">
        <v>79461</v>
      </c>
    </row>
    <row r="417" spans="1:15" x14ac:dyDescent="0.35">
      <c r="A417" t="s">
        <v>15</v>
      </c>
      <c r="B417" t="s">
        <v>99</v>
      </c>
      <c r="C417" t="s">
        <v>36</v>
      </c>
      <c r="D417" t="s">
        <v>574</v>
      </c>
      <c r="E417" t="s">
        <v>575</v>
      </c>
      <c r="F417" t="s">
        <v>203</v>
      </c>
      <c r="G417" t="s">
        <v>576</v>
      </c>
      <c r="H417" t="s">
        <v>115</v>
      </c>
      <c r="I417" t="s">
        <v>23</v>
      </c>
      <c r="J417" s="1">
        <v>78700</v>
      </c>
      <c r="K417" t="s">
        <v>661</v>
      </c>
      <c r="L417" t="s">
        <v>1553</v>
      </c>
      <c r="M417" t="s">
        <v>256</v>
      </c>
      <c r="N417">
        <v>25</v>
      </c>
      <c r="O417">
        <v>203038</v>
      </c>
    </row>
    <row r="418" spans="1:15" x14ac:dyDescent="0.35">
      <c r="A418" t="s">
        <v>15</v>
      </c>
      <c r="B418" t="s">
        <v>16</v>
      </c>
      <c r="C418" t="s">
        <v>17</v>
      </c>
      <c r="D418" t="s">
        <v>476</v>
      </c>
      <c r="E418" t="s">
        <v>477</v>
      </c>
      <c r="F418" t="s">
        <v>196</v>
      </c>
      <c r="G418" t="s">
        <v>229</v>
      </c>
      <c r="H418" t="s">
        <v>57</v>
      </c>
      <c r="I418" t="s">
        <v>23</v>
      </c>
      <c r="J418" s="1">
        <v>9900</v>
      </c>
      <c r="K418" t="s">
        <v>23</v>
      </c>
      <c r="L418" t="s">
        <v>1554</v>
      </c>
      <c r="M418" t="s">
        <v>1555</v>
      </c>
      <c r="N418">
        <v>7</v>
      </c>
      <c r="O418">
        <v>15539</v>
      </c>
    </row>
    <row r="419" spans="1:15" x14ac:dyDescent="0.35">
      <c r="A419" t="s">
        <v>15</v>
      </c>
      <c r="B419" t="s">
        <v>99</v>
      </c>
      <c r="C419" t="s">
        <v>36</v>
      </c>
      <c r="D419" t="s">
        <v>694</v>
      </c>
      <c r="E419" t="s">
        <v>1022</v>
      </c>
      <c r="F419" t="s">
        <v>399</v>
      </c>
      <c r="G419" t="s">
        <v>580</v>
      </c>
      <c r="H419" t="s">
        <v>41</v>
      </c>
      <c r="I419" t="s">
        <v>23</v>
      </c>
      <c r="J419" s="1">
        <v>26060</v>
      </c>
      <c r="K419" t="s">
        <v>1556</v>
      </c>
      <c r="L419" t="s">
        <v>1557</v>
      </c>
      <c r="M419" t="s">
        <v>189</v>
      </c>
      <c r="N419">
        <v>5</v>
      </c>
      <c r="O419">
        <v>164407</v>
      </c>
    </row>
    <row r="420" spans="1:15" x14ac:dyDescent="0.35">
      <c r="A420" t="s">
        <v>15</v>
      </c>
      <c r="B420" t="s">
        <v>99</v>
      </c>
      <c r="C420" t="s">
        <v>17</v>
      </c>
      <c r="D420" t="s">
        <v>1432</v>
      </c>
      <c r="E420" t="s">
        <v>1502</v>
      </c>
      <c r="F420" t="s">
        <v>39</v>
      </c>
      <c r="G420" t="s">
        <v>1183</v>
      </c>
      <c r="H420" t="s">
        <v>73</v>
      </c>
      <c r="I420" t="s">
        <v>61</v>
      </c>
      <c r="J420" s="1">
        <v>12659</v>
      </c>
      <c r="K420" t="s">
        <v>73</v>
      </c>
      <c r="L420" t="s">
        <v>1558</v>
      </c>
      <c r="M420" t="s">
        <v>1559</v>
      </c>
      <c r="O420">
        <v>51940</v>
      </c>
    </row>
    <row r="421" spans="1:15" x14ac:dyDescent="0.35">
      <c r="A421" t="s">
        <v>15</v>
      </c>
      <c r="B421" t="s">
        <v>16</v>
      </c>
      <c r="C421" t="s">
        <v>36</v>
      </c>
      <c r="D421" t="s">
        <v>1458</v>
      </c>
      <c r="E421" t="s">
        <v>54</v>
      </c>
      <c r="F421" t="s">
        <v>341</v>
      </c>
      <c r="G421" t="s">
        <v>1459</v>
      </c>
      <c r="H421" t="s">
        <v>41</v>
      </c>
      <c r="I421" t="s">
        <v>23</v>
      </c>
      <c r="J421" s="1">
        <v>2300</v>
      </c>
      <c r="K421" t="s">
        <v>23</v>
      </c>
      <c r="L421" t="s">
        <v>1560</v>
      </c>
      <c r="M421" t="s">
        <v>60</v>
      </c>
      <c r="N421">
        <v>2</v>
      </c>
      <c r="O421">
        <v>215046.5</v>
      </c>
    </row>
    <row r="422" spans="1:15" x14ac:dyDescent="0.35">
      <c r="A422" t="s">
        <v>15</v>
      </c>
      <c r="B422" t="s">
        <v>52</v>
      </c>
      <c r="C422" t="s">
        <v>17</v>
      </c>
      <c r="D422" t="s">
        <v>1561</v>
      </c>
      <c r="E422" t="s">
        <v>1562</v>
      </c>
      <c r="F422" t="s">
        <v>1167</v>
      </c>
      <c r="G422" t="s">
        <v>1563</v>
      </c>
      <c r="H422" t="s">
        <v>41</v>
      </c>
      <c r="I422" t="s">
        <v>58</v>
      </c>
      <c r="J422" s="1">
        <v>3570</v>
      </c>
      <c r="K422" t="s">
        <v>58</v>
      </c>
      <c r="L422" t="s">
        <v>1564</v>
      </c>
      <c r="M422" t="s">
        <v>60</v>
      </c>
      <c r="N422">
        <v>10</v>
      </c>
      <c r="O422">
        <v>34569</v>
      </c>
    </row>
    <row r="423" spans="1:15" x14ac:dyDescent="0.35">
      <c r="A423" t="s">
        <v>15</v>
      </c>
      <c r="B423" t="s">
        <v>16</v>
      </c>
      <c r="C423" t="s">
        <v>61</v>
      </c>
      <c r="D423" t="s">
        <v>429</v>
      </c>
      <c r="E423" t="s">
        <v>1565</v>
      </c>
      <c r="F423" t="s">
        <v>125</v>
      </c>
      <c r="G423" t="s">
        <v>432</v>
      </c>
      <c r="H423" t="s">
        <v>41</v>
      </c>
      <c r="I423" t="s">
        <v>23</v>
      </c>
      <c r="J423" s="1">
        <v>24800</v>
      </c>
      <c r="K423" t="s">
        <v>1566</v>
      </c>
      <c r="L423" t="s">
        <v>1567</v>
      </c>
      <c r="M423" t="s">
        <v>60</v>
      </c>
      <c r="N423">
        <v>14</v>
      </c>
      <c r="O423">
        <v>82367</v>
      </c>
    </row>
    <row r="424" spans="1:15" x14ac:dyDescent="0.35">
      <c r="A424" t="s">
        <v>15</v>
      </c>
      <c r="B424" t="s">
        <v>16</v>
      </c>
      <c r="C424" t="s">
        <v>61</v>
      </c>
      <c r="D424" t="s">
        <v>1568</v>
      </c>
      <c r="E424" t="s">
        <v>583</v>
      </c>
      <c r="F424" t="s">
        <v>125</v>
      </c>
      <c r="G424" t="s">
        <v>584</v>
      </c>
      <c r="H424" t="s">
        <v>22</v>
      </c>
      <c r="I424" t="s">
        <v>58</v>
      </c>
      <c r="J424" s="1">
        <v>23910</v>
      </c>
      <c r="K424" t="s">
        <v>58</v>
      </c>
      <c r="L424" t="s">
        <v>1569</v>
      </c>
      <c r="M424" t="s">
        <v>1570</v>
      </c>
      <c r="N424">
        <v>14</v>
      </c>
      <c r="O424">
        <v>130610</v>
      </c>
    </row>
    <row r="425" spans="1:15" x14ac:dyDescent="0.35">
      <c r="A425" t="s">
        <v>15</v>
      </c>
      <c r="B425" t="s">
        <v>27</v>
      </c>
      <c r="C425" t="s">
        <v>36</v>
      </c>
      <c r="D425" t="s">
        <v>1571</v>
      </c>
      <c r="E425" t="s">
        <v>1572</v>
      </c>
      <c r="F425" t="s">
        <v>39</v>
      </c>
      <c r="G425" t="s">
        <v>647</v>
      </c>
      <c r="H425" t="s">
        <v>41</v>
      </c>
      <c r="I425" t="s">
        <v>58</v>
      </c>
      <c r="J425" s="1">
        <v>4570</v>
      </c>
      <c r="K425" t="s">
        <v>58</v>
      </c>
      <c r="L425" t="s">
        <v>1573</v>
      </c>
      <c r="M425" t="s">
        <v>60</v>
      </c>
      <c r="O425">
        <v>54267</v>
      </c>
    </row>
    <row r="426" spans="1:15" x14ac:dyDescent="0.35">
      <c r="A426" t="s">
        <v>15</v>
      </c>
      <c r="B426" t="s">
        <v>16</v>
      </c>
      <c r="C426" t="s">
        <v>61</v>
      </c>
      <c r="D426" t="s">
        <v>742</v>
      </c>
      <c r="E426" t="s">
        <v>688</v>
      </c>
      <c r="F426" t="s">
        <v>312</v>
      </c>
      <c r="G426" t="s">
        <v>744</v>
      </c>
      <c r="H426" t="s">
        <v>41</v>
      </c>
      <c r="I426" t="s">
        <v>23</v>
      </c>
      <c r="J426" s="1">
        <v>182288</v>
      </c>
      <c r="K426" t="s">
        <v>1574</v>
      </c>
      <c r="L426" t="s">
        <v>1575</v>
      </c>
      <c r="M426" t="s">
        <v>1576</v>
      </c>
      <c r="N426">
        <v>4</v>
      </c>
      <c r="O426">
        <v>48604</v>
      </c>
    </row>
    <row r="427" spans="1:15" x14ac:dyDescent="0.35">
      <c r="A427" t="s">
        <v>15</v>
      </c>
      <c r="B427" t="s">
        <v>16</v>
      </c>
      <c r="C427" t="s">
        <v>82</v>
      </c>
      <c r="D427" t="s">
        <v>124</v>
      </c>
      <c r="E427" t="s">
        <v>354</v>
      </c>
      <c r="F427" t="s">
        <v>125</v>
      </c>
      <c r="G427" t="s">
        <v>90</v>
      </c>
      <c r="H427" t="s">
        <v>57</v>
      </c>
      <c r="I427" t="s">
        <v>58</v>
      </c>
      <c r="J427">
        <v>300</v>
      </c>
      <c r="K427" t="s">
        <v>58</v>
      </c>
      <c r="L427" t="s">
        <v>1577</v>
      </c>
      <c r="M427" t="s">
        <v>60</v>
      </c>
      <c r="N427">
        <v>14</v>
      </c>
      <c r="O427">
        <v>167139</v>
      </c>
    </row>
    <row r="428" spans="1:15" x14ac:dyDescent="0.35">
      <c r="A428" t="s">
        <v>15</v>
      </c>
      <c r="B428" t="s">
        <v>27</v>
      </c>
      <c r="C428" t="s">
        <v>17</v>
      </c>
      <c r="D428" t="s">
        <v>1561</v>
      </c>
      <c r="E428" t="s">
        <v>1562</v>
      </c>
      <c r="F428" t="s">
        <v>39</v>
      </c>
      <c r="G428" t="s">
        <v>1563</v>
      </c>
      <c r="H428" t="s">
        <v>41</v>
      </c>
      <c r="I428" t="s">
        <v>58</v>
      </c>
      <c r="J428" s="1">
        <v>3560</v>
      </c>
      <c r="K428" t="s">
        <v>58</v>
      </c>
      <c r="L428" t="s">
        <v>1578</v>
      </c>
      <c r="M428" t="s">
        <v>60</v>
      </c>
      <c r="O428">
        <v>34568</v>
      </c>
    </row>
    <row r="429" spans="1:15" x14ac:dyDescent="0.35">
      <c r="A429" t="s">
        <v>15</v>
      </c>
      <c r="B429" t="s">
        <v>16</v>
      </c>
      <c r="C429" t="s">
        <v>61</v>
      </c>
      <c r="D429" t="s">
        <v>1324</v>
      </c>
      <c r="E429" t="s">
        <v>165</v>
      </c>
      <c r="F429" t="s">
        <v>244</v>
      </c>
      <c r="G429" t="s">
        <v>90</v>
      </c>
      <c r="H429" t="s">
        <v>57</v>
      </c>
      <c r="I429" t="s">
        <v>58</v>
      </c>
      <c r="J429">
        <v>90</v>
      </c>
      <c r="K429" t="s">
        <v>58</v>
      </c>
      <c r="L429" t="s">
        <v>1325</v>
      </c>
      <c r="M429" t="s">
        <v>1326</v>
      </c>
      <c r="N429">
        <v>2</v>
      </c>
      <c r="O429">
        <v>232902</v>
      </c>
    </row>
    <row r="430" spans="1:15" x14ac:dyDescent="0.35">
      <c r="A430" t="s">
        <v>15</v>
      </c>
      <c r="B430" t="s">
        <v>27</v>
      </c>
      <c r="C430" t="s">
        <v>82</v>
      </c>
      <c r="D430" t="s">
        <v>1579</v>
      </c>
      <c r="E430" t="s">
        <v>1580</v>
      </c>
      <c r="F430" t="s">
        <v>64</v>
      </c>
      <c r="G430" t="s">
        <v>594</v>
      </c>
      <c r="H430" t="s">
        <v>41</v>
      </c>
      <c r="I430" t="s">
        <v>58</v>
      </c>
      <c r="J430" s="1">
        <v>1530</v>
      </c>
      <c r="K430" t="s">
        <v>1581</v>
      </c>
      <c r="L430" t="s">
        <v>1582</v>
      </c>
      <c r="M430" t="s">
        <v>60</v>
      </c>
      <c r="N430">
        <v>3</v>
      </c>
      <c r="O430">
        <v>95900</v>
      </c>
    </row>
    <row r="431" spans="1:15" x14ac:dyDescent="0.35">
      <c r="A431" t="s">
        <v>15</v>
      </c>
      <c r="B431" t="s">
        <v>16</v>
      </c>
      <c r="C431" t="s">
        <v>61</v>
      </c>
      <c r="D431" t="s">
        <v>339</v>
      </c>
      <c r="E431" t="s">
        <v>1583</v>
      </c>
      <c r="F431" t="s">
        <v>125</v>
      </c>
      <c r="G431" t="s">
        <v>342</v>
      </c>
      <c r="H431" t="s">
        <v>41</v>
      </c>
      <c r="I431" t="s">
        <v>23</v>
      </c>
      <c r="J431" s="1">
        <v>187570</v>
      </c>
      <c r="K431" t="s">
        <v>1584</v>
      </c>
      <c r="L431" t="s">
        <v>1585</v>
      </c>
      <c r="M431" t="s">
        <v>1586</v>
      </c>
      <c r="N431">
        <v>14</v>
      </c>
      <c r="O431">
        <v>107773</v>
      </c>
    </row>
    <row r="432" spans="1:15" x14ac:dyDescent="0.35">
      <c r="A432" t="s">
        <v>15</v>
      </c>
      <c r="B432" t="s">
        <v>16</v>
      </c>
      <c r="C432" t="s">
        <v>61</v>
      </c>
      <c r="D432" t="s">
        <v>1587</v>
      </c>
      <c r="E432" t="s">
        <v>1588</v>
      </c>
      <c r="F432" t="s">
        <v>196</v>
      </c>
      <c r="G432" t="s">
        <v>1589</v>
      </c>
      <c r="H432" t="s">
        <v>41</v>
      </c>
      <c r="I432" t="s">
        <v>23</v>
      </c>
      <c r="J432" s="1">
        <v>4780</v>
      </c>
      <c r="K432" t="s">
        <v>23</v>
      </c>
      <c r="L432" t="s">
        <v>1590</v>
      </c>
      <c r="M432" t="s">
        <v>81</v>
      </c>
      <c r="N432">
        <v>7</v>
      </c>
      <c r="O432">
        <v>114172</v>
      </c>
    </row>
    <row r="433" spans="1:15" x14ac:dyDescent="0.35">
      <c r="A433" t="s">
        <v>15</v>
      </c>
      <c r="B433" t="s">
        <v>16</v>
      </c>
      <c r="C433" t="s">
        <v>36</v>
      </c>
      <c r="D433" t="s">
        <v>1591</v>
      </c>
      <c r="E433" t="s">
        <v>1592</v>
      </c>
      <c r="F433" t="s">
        <v>39</v>
      </c>
      <c r="G433" t="s">
        <v>1593</v>
      </c>
      <c r="H433" t="s">
        <v>22</v>
      </c>
      <c r="I433" t="s">
        <v>23</v>
      </c>
      <c r="J433" s="1">
        <v>11020</v>
      </c>
      <c r="K433" t="s">
        <v>23</v>
      </c>
      <c r="L433" t="s">
        <v>1594</v>
      </c>
      <c r="M433" t="s">
        <v>1595</v>
      </c>
      <c r="O433">
        <v>129379.5</v>
      </c>
    </row>
    <row r="434" spans="1:15" x14ac:dyDescent="0.35">
      <c r="A434" t="s">
        <v>15</v>
      </c>
      <c r="B434" t="s">
        <v>16</v>
      </c>
      <c r="C434" t="s">
        <v>36</v>
      </c>
      <c r="D434" t="s">
        <v>1338</v>
      </c>
      <c r="E434" t="s">
        <v>626</v>
      </c>
      <c r="F434" t="s">
        <v>939</v>
      </c>
      <c r="G434" t="s">
        <v>90</v>
      </c>
      <c r="H434" t="s">
        <v>41</v>
      </c>
      <c r="I434" t="s">
        <v>58</v>
      </c>
      <c r="J434">
        <v>90</v>
      </c>
      <c r="K434" t="s">
        <v>58</v>
      </c>
      <c r="L434" t="s">
        <v>1596</v>
      </c>
      <c r="M434" t="s">
        <v>60</v>
      </c>
      <c r="N434">
        <v>4</v>
      </c>
      <c r="O434">
        <v>172622.5</v>
      </c>
    </row>
    <row r="435" spans="1:15" x14ac:dyDescent="0.35">
      <c r="A435" t="s">
        <v>15</v>
      </c>
      <c r="B435" t="s">
        <v>16</v>
      </c>
      <c r="C435" t="s">
        <v>17</v>
      </c>
      <c r="D435" t="s">
        <v>1597</v>
      </c>
      <c r="E435" t="s">
        <v>1598</v>
      </c>
      <c r="F435" t="s">
        <v>78</v>
      </c>
      <c r="G435" t="s">
        <v>412</v>
      </c>
      <c r="H435" t="s">
        <v>41</v>
      </c>
      <c r="I435" t="s">
        <v>58</v>
      </c>
      <c r="J435" s="1">
        <v>2810</v>
      </c>
      <c r="K435" t="s">
        <v>58</v>
      </c>
      <c r="L435" t="s">
        <v>1599</v>
      </c>
      <c r="M435" t="s">
        <v>60</v>
      </c>
      <c r="N435">
        <v>9</v>
      </c>
      <c r="O435">
        <v>226506</v>
      </c>
    </row>
    <row r="436" spans="1:15" x14ac:dyDescent="0.35">
      <c r="A436" t="s">
        <v>15</v>
      </c>
      <c r="B436" t="s">
        <v>16</v>
      </c>
      <c r="C436" t="s">
        <v>17</v>
      </c>
      <c r="D436" t="s">
        <v>1600</v>
      </c>
      <c r="E436" t="s">
        <v>1601</v>
      </c>
      <c r="F436" t="s">
        <v>431</v>
      </c>
      <c r="G436" t="s">
        <v>1236</v>
      </c>
      <c r="H436" t="s">
        <v>41</v>
      </c>
      <c r="I436" t="s">
        <v>58</v>
      </c>
      <c r="J436" s="1">
        <v>263610</v>
      </c>
      <c r="K436" t="s">
        <v>1602</v>
      </c>
      <c r="L436" t="s">
        <v>1603</v>
      </c>
      <c r="M436" t="s">
        <v>1604</v>
      </c>
      <c r="N436">
        <v>21</v>
      </c>
      <c r="O436">
        <v>32158</v>
      </c>
    </row>
    <row r="437" spans="1:15" x14ac:dyDescent="0.35">
      <c r="A437" t="s">
        <v>15</v>
      </c>
      <c r="B437" t="s">
        <v>16</v>
      </c>
      <c r="C437" t="s">
        <v>17</v>
      </c>
      <c r="D437" t="s">
        <v>1605</v>
      </c>
      <c r="E437" t="s">
        <v>1606</v>
      </c>
      <c r="F437" t="s">
        <v>139</v>
      </c>
      <c r="G437" t="s">
        <v>229</v>
      </c>
      <c r="H437" t="s">
        <v>41</v>
      </c>
      <c r="I437" t="s">
        <v>58</v>
      </c>
      <c r="J437">
        <v>420</v>
      </c>
      <c r="K437" t="s">
        <v>58</v>
      </c>
      <c r="L437" t="s">
        <v>1607</v>
      </c>
      <c r="M437" t="s">
        <v>60</v>
      </c>
      <c r="N437">
        <v>13</v>
      </c>
      <c r="O437">
        <v>182674</v>
      </c>
    </row>
    <row r="438" spans="1:15" x14ac:dyDescent="0.35">
      <c r="A438" t="s">
        <v>15</v>
      </c>
      <c r="B438" t="s">
        <v>27</v>
      </c>
      <c r="C438" t="s">
        <v>36</v>
      </c>
      <c r="D438" t="s">
        <v>582</v>
      </c>
      <c r="E438" t="s">
        <v>583</v>
      </c>
      <c r="F438" t="s">
        <v>196</v>
      </c>
      <c r="G438" t="s">
        <v>584</v>
      </c>
      <c r="H438" t="s">
        <v>57</v>
      </c>
      <c r="I438" t="s">
        <v>58</v>
      </c>
      <c r="J438" s="1">
        <v>33010</v>
      </c>
      <c r="K438" t="s">
        <v>58</v>
      </c>
      <c r="L438" t="s">
        <v>1608</v>
      </c>
      <c r="M438" t="s">
        <v>1609</v>
      </c>
      <c r="N438">
        <v>7</v>
      </c>
      <c r="O438">
        <v>219080.5</v>
      </c>
    </row>
    <row r="439" spans="1:15" x14ac:dyDescent="0.35">
      <c r="A439" t="s">
        <v>15</v>
      </c>
      <c r="B439" t="s">
        <v>27</v>
      </c>
      <c r="C439" t="s">
        <v>36</v>
      </c>
      <c r="D439" t="s">
        <v>1610</v>
      </c>
      <c r="E439" t="s">
        <v>165</v>
      </c>
      <c r="F439" t="s">
        <v>196</v>
      </c>
      <c r="G439" t="s">
        <v>90</v>
      </c>
      <c r="H439" t="s">
        <v>41</v>
      </c>
      <c r="I439" t="s">
        <v>58</v>
      </c>
      <c r="J439">
        <v>45</v>
      </c>
      <c r="K439" t="s">
        <v>58</v>
      </c>
      <c r="L439" t="s">
        <v>1611</v>
      </c>
      <c r="M439" t="s">
        <v>1612</v>
      </c>
      <c r="N439">
        <v>7</v>
      </c>
      <c r="O439">
        <v>178106.5</v>
      </c>
    </row>
    <row r="440" spans="1:15" x14ac:dyDescent="0.35">
      <c r="A440" t="s">
        <v>15</v>
      </c>
      <c r="B440" t="s">
        <v>16</v>
      </c>
      <c r="C440" t="s">
        <v>36</v>
      </c>
      <c r="D440" t="s">
        <v>488</v>
      </c>
      <c r="E440" t="s">
        <v>1613</v>
      </c>
      <c r="F440" t="s">
        <v>196</v>
      </c>
      <c r="G440" t="s">
        <v>417</v>
      </c>
      <c r="H440" t="s">
        <v>41</v>
      </c>
      <c r="I440" t="s">
        <v>23</v>
      </c>
      <c r="J440" s="1">
        <v>97070</v>
      </c>
      <c r="K440" t="s">
        <v>1614</v>
      </c>
      <c r="L440" t="s">
        <v>1615</v>
      </c>
      <c r="M440" t="s">
        <v>1616</v>
      </c>
      <c r="N440">
        <v>7</v>
      </c>
      <c r="O440">
        <v>178199</v>
      </c>
    </row>
    <row r="441" spans="1:15" x14ac:dyDescent="0.35">
      <c r="A441" t="s">
        <v>15</v>
      </c>
      <c r="B441" t="s">
        <v>69</v>
      </c>
      <c r="C441" t="s">
        <v>61</v>
      </c>
      <c r="D441" t="s">
        <v>1617</v>
      </c>
      <c r="E441" t="s">
        <v>94</v>
      </c>
      <c r="F441" t="s">
        <v>394</v>
      </c>
      <c r="G441" t="s">
        <v>238</v>
      </c>
      <c r="H441" t="s">
        <v>57</v>
      </c>
      <c r="I441" t="s">
        <v>23</v>
      </c>
      <c r="J441" s="1">
        <v>53700</v>
      </c>
      <c r="K441" t="s">
        <v>1618</v>
      </c>
      <c r="L441" t="s">
        <v>1619</v>
      </c>
      <c r="M441" t="s">
        <v>118</v>
      </c>
      <c r="N441">
        <v>11</v>
      </c>
      <c r="O441">
        <v>125135</v>
      </c>
    </row>
    <row r="442" spans="1:15" x14ac:dyDescent="0.35">
      <c r="A442" t="s">
        <v>15</v>
      </c>
      <c r="B442" t="s">
        <v>16</v>
      </c>
      <c r="C442" t="s">
        <v>36</v>
      </c>
      <c r="D442" t="s">
        <v>1620</v>
      </c>
      <c r="E442" t="s">
        <v>1621</v>
      </c>
      <c r="F442" t="s">
        <v>30</v>
      </c>
      <c r="G442" t="s">
        <v>1134</v>
      </c>
      <c r="H442" t="s">
        <v>41</v>
      </c>
      <c r="I442" t="s">
        <v>58</v>
      </c>
      <c r="J442">
        <v>75</v>
      </c>
      <c r="K442" t="s">
        <v>58</v>
      </c>
      <c r="L442" t="s">
        <v>1622</v>
      </c>
      <c r="M442" t="s">
        <v>60</v>
      </c>
      <c r="N442">
        <v>15</v>
      </c>
      <c r="O442">
        <v>182673</v>
      </c>
    </row>
    <row r="443" spans="1:15" x14ac:dyDescent="0.35">
      <c r="A443" t="s">
        <v>15</v>
      </c>
      <c r="B443" t="s">
        <v>99</v>
      </c>
      <c r="C443" t="s">
        <v>61</v>
      </c>
      <c r="D443" t="s">
        <v>1418</v>
      </c>
      <c r="E443" t="s">
        <v>1623</v>
      </c>
      <c r="F443" t="s">
        <v>431</v>
      </c>
      <c r="G443" t="s">
        <v>56</v>
      </c>
      <c r="H443" t="s">
        <v>41</v>
      </c>
      <c r="I443" t="s">
        <v>23</v>
      </c>
      <c r="J443" s="1">
        <v>96040</v>
      </c>
      <c r="K443" t="s">
        <v>23</v>
      </c>
      <c r="L443" t="s">
        <v>1624</v>
      </c>
      <c r="M443" t="s">
        <v>35</v>
      </c>
      <c r="N443">
        <v>21</v>
      </c>
      <c r="O443">
        <v>95906</v>
      </c>
    </row>
    <row r="444" spans="1:15" x14ac:dyDescent="0.35">
      <c r="A444" t="s">
        <v>15</v>
      </c>
      <c r="B444" t="s">
        <v>16</v>
      </c>
      <c r="C444" t="s">
        <v>36</v>
      </c>
      <c r="D444" t="s">
        <v>967</v>
      </c>
      <c r="E444" t="s">
        <v>1625</v>
      </c>
      <c r="F444" t="s">
        <v>125</v>
      </c>
      <c r="G444" t="s">
        <v>969</v>
      </c>
      <c r="H444" t="s">
        <v>41</v>
      </c>
      <c r="I444" t="s">
        <v>23</v>
      </c>
      <c r="J444" s="1">
        <v>2520</v>
      </c>
      <c r="K444" t="s">
        <v>23</v>
      </c>
      <c r="L444" t="s">
        <v>1626</v>
      </c>
      <c r="M444" t="s">
        <v>1627</v>
      </c>
      <c r="N444">
        <v>14</v>
      </c>
      <c r="O444">
        <v>92232.5</v>
      </c>
    </row>
    <row r="445" spans="1:15" x14ac:dyDescent="0.35">
      <c r="A445" t="s">
        <v>15</v>
      </c>
      <c r="B445" t="s">
        <v>99</v>
      </c>
      <c r="C445" t="s">
        <v>61</v>
      </c>
      <c r="D445" t="s">
        <v>1628</v>
      </c>
      <c r="E445" t="s">
        <v>1629</v>
      </c>
      <c r="F445" t="s">
        <v>30</v>
      </c>
      <c r="G445" t="s">
        <v>1630</v>
      </c>
      <c r="H445" t="s">
        <v>115</v>
      </c>
      <c r="I445" t="s">
        <v>23</v>
      </c>
      <c r="J445" s="1">
        <v>3570</v>
      </c>
      <c r="K445" t="s">
        <v>23</v>
      </c>
      <c r="L445" t="s">
        <v>1631</v>
      </c>
      <c r="M445" t="s">
        <v>51</v>
      </c>
      <c r="N445">
        <v>15</v>
      </c>
      <c r="O445">
        <v>187467.5</v>
      </c>
    </row>
    <row r="446" spans="1:15" x14ac:dyDescent="0.35">
      <c r="A446" t="s">
        <v>15</v>
      </c>
      <c r="B446" t="s">
        <v>99</v>
      </c>
      <c r="C446" t="s">
        <v>36</v>
      </c>
      <c r="D446" t="s">
        <v>1632</v>
      </c>
      <c r="E446" t="s">
        <v>1633</v>
      </c>
      <c r="F446" t="s">
        <v>341</v>
      </c>
      <c r="G446" t="s">
        <v>48</v>
      </c>
      <c r="H446" t="s">
        <v>41</v>
      </c>
      <c r="I446" t="s">
        <v>23</v>
      </c>
      <c r="J446" s="1">
        <v>21310</v>
      </c>
      <c r="K446" t="s">
        <v>1634</v>
      </c>
      <c r="L446" t="s">
        <v>1635</v>
      </c>
      <c r="M446" t="s">
        <v>1636</v>
      </c>
      <c r="N446">
        <v>2</v>
      </c>
      <c r="O446">
        <v>137646</v>
      </c>
    </row>
    <row r="447" spans="1:15" x14ac:dyDescent="0.35">
      <c r="A447" t="s">
        <v>15</v>
      </c>
      <c r="B447" t="s">
        <v>16</v>
      </c>
      <c r="C447" t="s">
        <v>61</v>
      </c>
      <c r="D447" t="s">
        <v>1637</v>
      </c>
      <c r="E447" t="s">
        <v>974</v>
      </c>
      <c r="F447" t="s">
        <v>856</v>
      </c>
      <c r="G447" t="s">
        <v>1426</v>
      </c>
      <c r="H447" t="s">
        <v>57</v>
      </c>
      <c r="I447" t="s">
        <v>23</v>
      </c>
      <c r="J447" s="1">
        <v>123020</v>
      </c>
      <c r="K447" t="s">
        <v>23</v>
      </c>
      <c r="L447" t="s">
        <v>1638</v>
      </c>
      <c r="M447" t="s">
        <v>1639</v>
      </c>
      <c r="N447">
        <v>23</v>
      </c>
      <c r="O447">
        <v>41559</v>
      </c>
    </row>
    <row r="448" spans="1:15" x14ac:dyDescent="0.35">
      <c r="A448" t="s">
        <v>15</v>
      </c>
      <c r="B448" t="s">
        <v>16</v>
      </c>
      <c r="C448" t="s">
        <v>36</v>
      </c>
      <c r="D448" t="s">
        <v>1640</v>
      </c>
      <c r="E448" t="s">
        <v>228</v>
      </c>
      <c r="F448" t="s">
        <v>39</v>
      </c>
      <c r="G448" t="s">
        <v>249</v>
      </c>
      <c r="H448" t="s">
        <v>22</v>
      </c>
      <c r="I448" t="s">
        <v>23</v>
      </c>
      <c r="J448" s="1">
        <v>27030</v>
      </c>
      <c r="K448" t="s">
        <v>23</v>
      </c>
      <c r="L448" t="s">
        <v>1641</v>
      </c>
      <c r="M448" t="s">
        <v>1642</v>
      </c>
      <c r="O448">
        <v>118513</v>
      </c>
    </row>
    <row r="449" spans="1:15" x14ac:dyDescent="0.35">
      <c r="A449" t="s">
        <v>15</v>
      </c>
      <c r="B449" t="s">
        <v>52</v>
      </c>
      <c r="C449" t="s">
        <v>17</v>
      </c>
      <c r="D449" t="s">
        <v>927</v>
      </c>
      <c r="E449" t="s">
        <v>928</v>
      </c>
      <c r="F449" t="s">
        <v>47</v>
      </c>
      <c r="G449" t="s">
        <v>86</v>
      </c>
      <c r="H449" t="s">
        <v>22</v>
      </c>
      <c r="I449" t="s">
        <v>23</v>
      </c>
      <c r="J449" s="1">
        <v>17040</v>
      </c>
      <c r="K449" t="s">
        <v>23</v>
      </c>
      <c r="L449" t="s">
        <v>1643</v>
      </c>
      <c r="M449" t="s">
        <v>60</v>
      </c>
      <c r="N449">
        <v>8</v>
      </c>
      <c r="O449">
        <v>115539.5</v>
      </c>
    </row>
    <row r="450" spans="1:15" x14ac:dyDescent="0.35">
      <c r="A450" t="s">
        <v>15</v>
      </c>
      <c r="B450" t="s">
        <v>16</v>
      </c>
      <c r="C450" t="s">
        <v>61</v>
      </c>
      <c r="D450" t="s">
        <v>1200</v>
      </c>
      <c r="E450" t="s">
        <v>1201</v>
      </c>
      <c r="F450" t="s">
        <v>39</v>
      </c>
      <c r="G450" t="s">
        <v>647</v>
      </c>
      <c r="H450" t="s">
        <v>73</v>
      </c>
      <c r="I450" t="s">
        <v>61</v>
      </c>
      <c r="J450">
        <v>210</v>
      </c>
      <c r="K450" t="s">
        <v>73</v>
      </c>
      <c r="L450" t="s">
        <v>1644</v>
      </c>
      <c r="M450" t="s">
        <v>1645</v>
      </c>
      <c r="O450">
        <v>54804</v>
      </c>
    </row>
    <row r="451" spans="1:15" x14ac:dyDescent="0.35">
      <c r="A451" t="s">
        <v>75</v>
      </c>
      <c r="B451" t="s">
        <v>16</v>
      </c>
      <c r="C451" t="s">
        <v>36</v>
      </c>
      <c r="D451" t="s">
        <v>1646</v>
      </c>
      <c r="E451" t="s">
        <v>1647</v>
      </c>
      <c r="F451" t="s">
        <v>1149</v>
      </c>
      <c r="G451" t="s">
        <v>1648</v>
      </c>
      <c r="H451" t="s">
        <v>41</v>
      </c>
      <c r="I451" t="s">
        <v>23</v>
      </c>
      <c r="J451" s="1">
        <v>117800</v>
      </c>
      <c r="K451" t="s">
        <v>1649</v>
      </c>
      <c r="L451" t="s">
        <v>1650</v>
      </c>
      <c r="M451" t="s">
        <v>1651</v>
      </c>
      <c r="N451">
        <v>18</v>
      </c>
      <c r="O451">
        <v>121017</v>
      </c>
    </row>
    <row r="452" spans="1:15" x14ac:dyDescent="0.35">
      <c r="A452" t="s">
        <v>15</v>
      </c>
      <c r="B452" t="s">
        <v>27</v>
      </c>
      <c r="C452" t="s">
        <v>82</v>
      </c>
      <c r="D452" t="s">
        <v>587</v>
      </c>
      <c r="E452" t="s">
        <v>1652</v>
      </c>
      <c r="F452" t="s">
        <v>341</v>
      </c>
      <c r="G452" t="s">
        <v>588</v>
      </c>
      <c r="H452" t="s">
        <v>41</v>
      </c>
      <c r="I452" t="s">
        <v>58</v>
      </c>
      <c r="J452">
        <v>30</v>
      </c>
      <c r="K452" t="s">
        <v>58</v>
      </c>
      <c r="L452" t="s">
        <v>1653</v>
      </c>
      <c r="M452" t="s">
        <v>1654</v>
      </c>
      <c r="N452">
        <v>2</v>
      </c>
      <c r="O452">
        <v>223771</v>
      </c>
    </row>
    <row r="453" spans="1:15" x14ac:dyDescent="0.35">
      <c r="A453" t="s">
        <v>15</v>
      </c>
      <c r="B453" t="s">
        <v>16</v>
      </c>
      <c r="C453" t="s">
        <v>17</v>
      </c>
      <c r="D453" t="s">
        <v>1655</v>
      </c>
      <c r="E453" t="s">
        <v>1656</v>
      </c>
      <c r="F453" t="s">
        <v>64</v>
      </c>
      <c r="G453" t="s">
        <v>1657</v>
      </c>
      <c r="H453" t="s">
        <v>41</v>
      </c>
      <c r="I453" t="s">
        <v>23</v>
      </c>
      <c r="J453" s="1">
        <v>110020</v>
      </c>
      <c r="K453" t="s">
        <v>1658</v>
      </c>
      <c r="L453" t="s">
        <v>1659</v>
      </c>
      <c r="M453" t="s">
        <v>1660</v>
      </c>
      <c r="N453">
        <v>3</v>
      </c>
      <c r="O453">
        <v>187146.5</v>
      </c>
    </row>
    <row r="454" spans="1:15" x14ac:dyDescent="0.35">
      <c r="A454" t="s">
        <v>15</v>
      </c>
      <c r="B454" t="s">
        <v>99</v>
      </c>
      <c r="C454" t="s">
        <v>17</v>
      </c>
      <c r="D454" t="s">
        <v>207</v>
      </c>
      <c r="E454" t="s">
        <v>208</v>
      </c>
      <c r="F454" t="s">
        <v>196</v>
      </c>
      <c r="G454" t="s">
        <v>209</v>
      </c>
      <c r="H454" t="s">
        <v>41</v>
      </c>
      <c r="I454" t="s">
        <v>23</v>
      </c>
      <c r="J454" s="1">
        <v>1310</v>
      </c>
      <c r="K454" t="s">
        <v>23</v>
      </c>
      <c r="L454" t="s">
        <v>1661</v>
      </c>
      <c r="M454" t="s">
        <v>163</v>
      </c>
      <c r="N454">
        <v>7</v>
      </c>
      <c r="O454">
        <v>45671.5</v>
      </c>
    </row>
    <row r="455" spans="1:15" x14ac:dyDescent="0.35">
      <c r="A455" t="s">
        <v>15</v>
      </c>
      <c r="B455" t="s">
        <v>16</v>
      </c>
      <c r="C455" t="s">
        <v>61</v>
      </c>
      <c r="D455" t="s">
        <v>864</v>
      </c>
      <c r="E455" t="s">
        <v>865</v>
      </c>
      <c r="F455" t="s">
        <v>312</v>
      </c>
      <c r="G455" t="s">
        <v>866</v>
      </c>
      <c r="H455" t="s">
        <v>41</v>
      </c>
      <c r="I455" t="s">
        <v>58</v>
      </c>
      <c r="J455">
        <v>180</v>
      </c>
      <c r="K455" t="s">
        <v>58</v>
      </c>
      <c r="L455" t="s">
        <v>1662</v>
      </c>
      <c r="M455" t="s">
        <v>919</v>
      </c>
      <c r="N455">
        <v>4</v>
      </c>
      <c r="O455">
        <v>73072</v>
      </c>
    </row>
    <row r="456" spans="1:15" x14ac:dyDescent="0.35">
      <c r="A456" t="s">
        <v>15</v>
      </c>
      <c r="B456" t="s">
        <v>16</v>
      </c>
      <c r="C456" t="s">
        <v>61</v>
      </c>
      <c r="D456" t="s">
        <v>703</v>
      </c>
      <c r="E456" t="s">
        <v>1663</v>
      </c>
      <c r="F456" t="s">
        <v>312</v>
      </c>
      <c r="G456" t="s">
        <v>169</v>
      </c>
      <c r="H456" t="s">
        <v>41</v>
      </c>
      <c r="I456" t="s">
        <v>23</v>
      </c>
      <c r="J456" s="1">
        <v>261040</v>
      </c>
      <c r="K456" t="s">
        <v>1664</v>
      </c>
      <c r="L456" t="s">
        <v>1665</v>
      </c>
      <c r="M456" t="s">
        <v>706</v>
      </c>
      <c r="N456">
        <v>4</v>
      </c>
      <c r="O456">
        <v>9585</v>
      </c>
    </row>
    <row r="457" spans="1:15" x14ac:dyDescent="0.35">
      <c r="A457" t="s">
        <v>15</v>
      </c>
      <c r="B457" t="s">
        <v>16</v>
      </c>
      <c r="C457" t="s">
        <v>17</v>
      </c>
      <c r="D457" t="s">
        <v>747</v>
      </c>
      <c r="E457" t="s">
        <v>1666</v>
      </c>
      <c r="F457" t="s">
        <v>399</v>
      </c>
      <c r="G457" t="s">
        <v>65</v>
      </c>
      <c r="H457" t="s">
        <v>41</v>
      </c>
      <c r="I457" t="s">
        <v>58</v>
      </c>
      <c r="J457" s="1">
        <v>3510</v>
      </c>
      <c r="K457" t="s">
        <v>58</v>
      </c>
      <c r="L457" t="s">
        <v>1667</v>
      </c>
      <c r="M457" t="s">
        <v>1668</v>
      </c>
      <c r="N457">
        <v>5</v>
      </c>
      <c r="O457">
        <v>143858</v>
      </c>
    </row>
    <row r="458" spans="1:15" x14ac:dyDescent="0.35">
      <c r="A458" t="s">
        <v>15</v>
      </c>
      <c r="B458" t="s">
        <v>16</v>
      </c>
      <c r="C458" t="s">
        <v>17</v>
      </c>
      <c r="D458" t="s">
        <v>1669</v>
      </c>
      <c r="E458" t="s">
        <v>1670</v>
      </c>
      <c r="F458" t="s">
        <v>125</v>
      </c>
      <c r="G458" t="s">
        <v>580</v>
      </c>
      <c r="H458" t="s">
        <v>41</v>
      </c>
      <c r="I458" t="s">
        <v>61</v>
      </c>
      <c r="J458" s="1">
        <v>1060</v>
      </c>
      <c r="K458" t="s">
        <v>960</v>
      </c>
      <c r="L458" t="s">
        <v>1671</v>
      </c>
      <c r="M458" t="s">
        <v>51</v>
      </c>
      <c r="N458">
        <v>14</v>
      </c>
      <c r="O458">
        <v>166892</v>
      </c>
    </row>
    <row r="459" spans="1:15" x14ac:dyDescent="0.35">
      <c r="A459" t="s">
        <v>75</v>
      </c>
      <c r="B459" t="s">
        <v>16</v>
      </c>
      <c r="C459" t="s">
        <v>61</v>
      </c>
      <c r="D459" t="s">
        <v>1672</v>
      </c>
      <c r="E459" t="s">
        <v>1673</v>
      </c>
      <c r="F459" t="s">
        <v>64</v>
      </c>
      <c r="G459" t="s">
        <v>498</v>
      </c>
      <c r="H459" t="s">
        <v>156</v>
      </c>
      <c r="I459" t="s">
        <v>23</v>
      </c>
      <c r="J459" s="1">
        <v>6160</v>
      </c>
      <c r="K459" t="s">
        <v>23</v>
      </c>
      <c r="L459" t="s">
        <v>1674</v>
      </c>
      <c r="M459" t="s">
        <v>1675</v>
      </c>
      <c r="N459">
        <v>3</v>
      </c>
      <c r="O459">
        <v>201851</v>
      </c>
    </row>
    <row r="460" spans="1:15" x14ac:dyDescent="0.35">
      <c r="A460" t="s">
        <v>75</v>
      </c>
      <c r="B460" t="s">
        <v>52</v>
      </c>
      <c r="C460" t="s">
        <v>36</v>
      </c>
      <c r="D460" t="s">
        <v>755</v>
      </c>
      <c r="E460" t="s">
        <v>544</v>
      </c>
      <c r="F460" t="s">
        <v>85</v>
      </c>
      <c r="G460" t="s">
        <v>756</v>
      </c>
      <c r="H460" t="s">
        <v>41</v>
      </c>
      <c r="I460" t="s">
        <v>58</v>
      </c>
      <c r="J460">
        <v>31</v>
      </c>
      <c r="K460" t="s">
        <v>58</v>
      </c>
      <c r="L460" t="s">
        <v>1676</v>
      </c>
      <c r="M460" t="s">
        <v>60</v>
      </c>
      <c r="N460">
        <v>6</v>
      </c>
      <c r="O460">
        <v>248885.5</v>
      </c>
    </row>
    <row r="461" spans="1:15" x14ac:dyDescent="0.35">
      <c r="A461" t="s">
        <v>15</v>
      </c>
      <c r="B461" t="s">
        <v>16</v>
      </c>
      <c r="C461" t="s">
        <v>36</v>
      </c>
      <c r="D461" t="s">
        <v>1374</v>
      </c>
      <c r="E461" t="s">
        <v>1677</v>
      </c>
      <c r="F461" t="s">
        <v>125</v>
      </c>
      <c r="G461" t="s">
        <v>1376</v>
      </c>
      <c r="H461" t="s">
        <v>57</v>
      </c>
      <c r="I461" t="s">
        <v>23</v>
      </c>
      <c r="J461" s="1">
        <v>3790</v>
      </c>
      <c r="K461" t="s">
        <v>23</v>
      </c>
      <c r="L461" t="s">
        <v>1678</v>
      </c>
      <c r="M461" t="s">
        <v>1378</v>
      </c>
      <c r="N461">
        <v>14</v>
      </c>
      <c r="O461">
        <v>116060</v>
      </c>
    </row>
    <row r="462" spans="1:15" x14ac:dyDescent="0.35">
      <c r="A462" t="s">
        <v>15</v>
      </c>
      <c r="B462" t="s">
        <v>16</v>
      </c>
      <c r="C462" t="s">
        <v>61</v>
      </c>
      <c r="D462" t="s">
        <v>1679</v>
      </c>
      <c r="E462" t="s">
        <v>385</v>
      </c>
      <c r="F462" t="s">
        <v>196</v>
      </c>
      <c r="G462" t="s">
        <v>1680</v>
      </c>
      <c r="H462" t="s">
        <v>41</v>
      </c>
      <c r="I462" t="s">
        <v>58</v>
      </c>
      <c r="J462">
        <v>510</v>
      </c>
      <c r="K462" t="s">
        <v>58</v>
      </c>
      <c r="L462" t="s">
        <v>1362</v>
      </c>
      <c r="M462" t="s">
        <v>81</v>
      </c>
      <c r="N462">
        <v>7</v>
      </c>
      <c r="O462">
        <v>100473</v>
      </c>
    </row>
    <row r="463" spans="1:15" x14ac:dyDescent="0.35">
      <c r="A463" t="s">
        <v>15</v>
      </c>
      <c r="B463" t="s">
        <v>16</v>
      </c>
      <c r="C463" t="s">
        <v>61</v>
      </c>
      <c r="D463" t="s">
        <v>1681</v>
      </c>
      <c r="E463" t="s">
        <v>732</v>
      </c>
      <c r="F463" t="s">
        <v>64</v>
      </c>
      <c r="G463" t="s">
        <v>1682</v>
      </c>
      <c r="H463" t="s">
        <v>41</v>
      </c>
      <c r="I463" t="s">
        <v>23</v>
      </c>
      <c r="J463" s="1">
        <v>16070</v>
      </c>
      <c r="K463" t="s">
        <v>23</v>
      </c>
      <c r="L463" t="s">
        <v>1683</v>
      </c>
      <c r="M463" t="s">
        <v>118</v>
      </c>
      <c r="N463">
        <v>3</v>
      </c>
      <c r="O463">
        <v>154450.5</v>
      </c>
    </row>
    <row r="464" spans="1:15" x14ac:dyDescent="0.35">
      <c r="A464" t="s">
        <v>15</v>
      </c>
      <c r="B464" t="s">
        <v>16</v>
      </c>
      <c r="C464" t="s">
        <v>61</v>
      </c>
      <c r="D464" t="s">
        <v>1684</v>
      </c>
      <c r="E464" t="s">
        <v>1331</v>
      </c>
      <c r="F464" t="s">
        <v>125</v>
      </c>
      <c r="G464" t="s">
        <v>773</v>
      </c>
      <c r="H464" t="s">
        <v>57</v>
      </c>
      <c r="I464" t="s">
        <v>23</v>
      </c>
      <c r="J464" s="1">
        <v>100050</v>
      </c>
      <c r="K464" t="s">
        <v>23</v>
      </c>
      <c r="L464" t="s">
        <v>1685</v>
      </c>
      <c r="M464" t="s">
        <v>110</v>
      </c>
      <c r="N464">
        <v>14</v>
      </c>
      <c r="O464">
        <v>75815</v>
      </c>
    </row>
    <row r="465" spans="1:15" x14ac:dyDescent="0.35">
      <c r="A465" t="s">
        <v>75</v>
      </c>
      <c r="B465" t="s">
        <v>16</v>
      </c>
      <c r="C465" t="s">
        <v>61</v>
      </c>
      <c r="D465" t="s">
        <v>875</v>
      </c>
      <c r="E465" t="s">
        <v>796</v>
      </c>
      <c r="F465" t="s">
        <v>196</v>
      </c>
      <c r="G465" t="s">
        <v>797</v>
      </c>
      <c r="H465" t="s">
        <v>115</v>
      </c>
      <c r="I465" t="s">
        <v>58</v>
      </c>
      <c r="J465">
        <v>250</v>
      </c>
      <c r="K465" t="s">
        <v>58</v>
      </c>
      <c r="L465" t="s">
        <v>1686</v>
      </c>
      <c r="M465" t="s">
        <v>1402</v>
      </c>
      <c r="N465">
        <v>7</v>
      </c>
      <c r="O465">
        <v>184040</v>
      </c>
    </row>
    <row r="466" spans="1:15" x14ac:dyDescent="0.35">
      <c r="A466" t="s">
        <v>15</v>
      </c>
      <c r="B466" t="s">
        <v>16</v>
      </c>
      <c r="C466" t="s">
        <v>17</v>
      </c>
      <c r="D466" t="s">
        <v>334</v>
      </c>
      <c r="E466" t="s">
        <v>335</v>
      </c>
      <c r="F466" t="s">
        <v>196</v>
      </c>
      <c r="G466" t="s">
        <v>336</v>
      </c>
      <c r="H466" t="s">
        <v>57</v>
      </c>
      <c r="I466" t="s">
        <v>23</v>
      </c>
      <c r="J466" s="1">
        <v>68440</v>
      </c>
      <c r="K466" t="s">
        <v>23</v>
      </c>
      <c r="L466" t="s">
        <v>1687</v>
      </c>
      <c r="M466" t="s">
        <v>338</v>
      </c>
      <c r="N466">
        <v>7</v>
      </c>
      <c r="O466">
        <v>24203</v>
      </c>
    </row>
    <row r="467" spans="1:15" x14ac:dyDescent="0.35">
      <c r="A467" t="s">
        <v>15</v>
      </c>
      <c r="B467" t="s">
        <v>16</v>
      </c>
      <c r="C467" t="s">
        <v>36</v>
      </c>
      <c r="D467" t="s">
        <v>767</v>
      </c>
      <c r="E467" t="s">
        <v>768</v>
      </c>
      <c r="F467" t="s">
        <v>125</v>
      </c>
      <c r="G467" t="s">
        <v>769</v>
      </c>
      <c r="H467" t="s">
        <v>41</v>
      </c>
      <c r="I467" t="s">
        <v>23</v>
      </c>
      <c r="J467" s="1">
        <v>65130</v>
      </c>
      <c r="K467" t="s">
        <v>23</v>
      </c>
      <c r="L467" t="s">
        <v>1688</v>
      </c>
      <c r="M467" t="s">
        <v>1689</v>
      </c>
      <c r="N467">
        <v>14</v>
      </c>
      <c r="O467">
        <v>107359</v>
      </c>
    </row>
    <row r="468" spans="1:15" x14ac:dyDescent="0.35">
      <c r="A468" t="s">
        <v>15</v>
      </c>
      <c r="B468" t="s">
        <v>52</v>
      </c>
      <c r="C468" t="s">
        <v>36</v>
      </c>
      <c r="D468" t="s">
        <v>286</v>
      </c>
      <c r="E468" t="s">
        <v>1690</v>
      </c>
      <c r="F468" t="s">
        <v>39</v>
      </c>
      <c r="G468" t="s">
        <v>90</v>
      </c>
      <c r="H468" t="s">
        <v>57</v>
      </c>
      <c r="I468" t="s">
        <v>58</v>
      </c>
      <c r="J468">
        <v>950</v>
      </c>
      <c r="K468" t="s">
        <v>1691</v>
      </c>
      <c r="L468" t="s">
        <v>1692</v>
      </c>
      <c r="M468" t="s">
        <v>60</v>
      </c>
      <c r="O468">
        <v>156187.5</v>
      </c>
    </row>
    <row r="469" spans="1:15" x14ac:dyDescent="0.35">
      <c r="A469" t="s">
        <v>15</v>
      </c>
      <c r="B469" t="s">
        <v>16</v>
      </c>
      <c r="C469" t="s">
        <v>17</v>
      </c>
      <c r="D469" t="s">
        <v>392</v>
      </c>
      <c r="E469" t="s">
        <v>393</v>
      </c>
      <c r="F469" t="s">
        <v>277</v>
      </c>
      <c r="G469" t="s">
        <v>90</v>
      </c>
      <c r="H469" t="s">
        <v>57</v>
      </c>
      <c r="I469" t="s">
        <v>58</v>
      </c>
      <c r="J469">
        <v>780</v>
      </c>
      <c r="K469" t="s">
        <v>879</v>
      </c>
      <c r="L469" t="s">
        <v>1693</v>
      </c>
      <c r="M469" t="s">
        <v>60</v>
      </c>
      <c r="N469">
        <v>12</v>
      </c>
      <c r="O469">
        <v>212579.5</v>
      </c>
    </row>
    <row r="470" spans="1:15" x14ac:dyDescent="0.35">
      <c r="A470" t="s">
        <v>15</v>
      </c>
      <c r="B470" t="s">
        <v>52</v>
      </c>
      <c r="C470" t="s">
        <v>17</v>
      </c>
      <c r="D470" t="s">
        <v>257</v>
      </c>
      <c r="E470" t="s">
        <v>1694</v>
      </c>
      <c r="F470" t="s">
        <v>196</v>
      </c>
      <c r="G470" t="s">
        <v>90</v>
      </c>
      <c r="H470" t="s">
        <v>41</v>
      </c>
      <c r="I470" t="s">
        <v>23</v>
      </c>
      <c r="J470" s="1">
        <v>5010</v>
      </c>
      <c r="K470" t="s">
        <v>1695</v>
      </c>
      <c r="L470" t="s">
        <v>1696</v>
      </c>
      <c r="M470" t="s">
        <v>60</v>
      </c>
      <c r="N470">
        <v>7</v>
      </c>
      <c r="O470">
        <v>98647</v>
      </c>
    </row>
    <row r="471" spans="1:15" x14ac:dyDescent="0.35">
      <c r="A471" t="s">
        <v>15</v>
      </c>
      <c r="B471" t="s">
        <v>16</v>
      </c>
      <c r="C471" t="s">
        <v>61</v>
      </c>
      <c r="D471" t="s">
        <v>709</v>
      </c>
      <c r="E471" t="s">
        <v>128</v>
      </c>
      <c r="F471" t="s">
        <v>292</v>
      </c>
      <c r="G471" t="s">
        <v>169</v>
      </c>
      <c r="H471" t="s">
        <v>41</v>
      </c>
      <c r="I471" t="s">
        <v>58</v>
      </c>
      <c r="J471" s="1">
        <v>15470</v>
      </c>
      <c r="K471" t="s">
        <v>1697</v>
      </c>
      <c r="L471" t="s">
        <v>1698</v>
      </c>
      <c r="M471" t="s">
        <v>1450</v>
      </c>
      <c r="N471">
        <v>5</v>
      </c>
      <c r="O471">
        <v>36101</v>
      </c>
    </row>
    <row r="472" spans="1:15" x14ac:dyDescent="0.35">
      <c r="A472" t="s">
        <v>15</v>
      </c>
      <c r="B472" t="s">
        <v>16</v>
      </c>
      <c r="C472" t="s">
        <v>36</v>
      </c>
      <c r="D472" t="s">
        <v>37</v>
      </c>
      <c r="E472" t="s">
        <v>1699</v>
      </c>
      <c r="F472" t="s">
        <v>196</v>
      </c>
      <c r="G472" t="s">
        <v>40</v>
      </c>
      <c r="H472" t="s">
        <v>41</v>
      </c>
      <c r="I472" t="s">
        <v>23</v>
      </c>
      <c r="J472" s="1">
        <v>25920</v>
      </c>
      <c r="K472" t="s">
        <v>1700</v>
      </c>
      <c r="L472" t="s">
        <v>1701</v>
      </c>
      <c r="M472" t="s">
        <v>1702</v>
      </c>
      <c r="N472">
        <v>7</v>
      </c>
      <c r="O472">
        <v>149152</v>
      </c>
    </row>
    <row r="473" spans="1:15" x14ac:dyDescent="0.35">
      <c r="A473" t="s">
        <v>75</v>
      </c>
      <c r="B473" t="s">
        <v>16</v>
      </c>
      <c r="C473" t="s">
        <v>36</v>
      </c>
      <c r="D473" t="s">
        <v>375</v>
      </c>
      <c r="E473" t="s">
        <v>376</v>
      </c>
      <c r="F473" t="s">
        <v>244</v>
      </c>
      <c r="G473" t="s">
        <v>377</v>
      </c>
      <c r="H473" t="s">
        <v>41</v>
      </c>
      <c r="I473" t="s">
        <v>58</v>
      </c>
      <c r="J473">
        <v>530</v>
      </c>
      <c r="K473" t="s">
        <v>58</v>
      </c>
      <c r="L473" t="s">
        <v>1703</v>
      </c>
      <c r="M473" t="s">
        <v>60</v>
      </c>
      <c r="N473">
        <v>2</v>
      </c>
      <c r="O473">
        <v>36342</v>
      </c>
    </row>
    <row r="474" spans="1:15" x14ac:dyDescent="0.35">
      <c r="A474" t="s">
        <v>15</v>
      </c>
      <c r="B474" t="s">
        <v>27</v>
      </c>
      <c r="C474" t="s">
        <v>17</v>
      </c>
      <c r="D474" t="s">
        <v>1704</v>
      </c>
      <c r="E474" t="s">
        <v>1297</v>
      </c>
      <c r="F474" t="s">
        <v>64</v>
      </c>
      <c r="G474" t="s">
        <v>1705</v>
      </c>
      <c r="H474" t="s">
        <v>57</v>
      </c>
      <c r="I474" t="s">
        <v>23</v>
      </c>
      <c r="J474" s="1">
        <v>16880</v>
      </c>
      <c r="K474" t="s">
        <v>23</v>
      </c>
      <c r="L474" t="s">
        <v>1706</v>
      </c>
      <c r="M474" t="s">
        <v>1707</v>
      </c>
      <c r="N474">
        <v>3</v>
      </c>
      <c r="O474">
        <v>140905.5</v>
      </c>
    </row>
    <row r="475" spans="1:15" x14ac:dyDescent="0.35">
      <c r="A475" t="s">
        <v>15</v>
      </c>
      <c r="B475" t="s">
        <v>16</v>
      </c>
      <c r="C475" t="s">
        <v>36</v>
      </c>
      <c r="D475" t="s">
        <v>915</v>
      </c>
      <c r="E475" t="s">
        <v>228</v>
      </c>
      <c r="F475" t="s">
        <v>39</v>
      </c>
      <c r="G475" t="s">
        <v>916</v>
      </c>
      <c r="H475" t="s">
        <v>57</v>
      </c>
      <c r="I475" t="s">
        <v>23</v>
      </c>
      <c r="J475" s="1">
        <v>62070</v>
      </c>
      <c r="K475" t="s">
        <v>1708</v>
      </c>
      <c r="L475" t="s">
        <v>1709</v>
      </c>
      <c r="M475" t="s">
        <v>919</v>
      </c>
      <c r="O475">
        <v>210401.5</v>
      </c>
    </row>
    <row r="476" spans="1:15" x14ac:dyDescent="0.35">
      <c r="A476" t="s">
        <v>15</v>
      </c>
      <c r="B476" t="s">
        <v>16</v>
      </c>
      <c r="C476" t="s">
        <v>61</v>
      </c>
      <c r="D476" t="s">
        <v>168</v>
      </c>
      <c r="E476" t="s">
        <v>1710</v>
      </c>
      <c r="F476" t="s">
        <v>196</v>
      </c>
      <c r="G476" t="s">
        <v>169</v>
      </c>
      <c r="H476" t="s">
        <v>41</v>
      </c>
      <c r="I476" t="s">
        <v>23</v>
      </c>
      <c r="J476" s="1">
        <v>222030</v>
      </c>
      <c r="K476" t="s">
        <v>1711</v>
      </c>
      <c r="L476" t="s">
        <v>1712</v>
      </c>
      <c r="M476" t="s">
        <v>1713</v>
      </c>
      <c r="N476">
        <v>7</v>
      </c>
      <c r="O476">
        <v>10048</v>
      </c>
    </row>
    <row r="477" spans="1:15" x14ac:dyDescent="0.35">
      <c r="A477" t="s">
        <v>15</v>
      </c>
      <c r="B477" t="s">
        <v>27</v>
      </c>
      <c r="C477" t="s">
        <v>36</v>
      </c>
      <c r="D477" t="s">
        <v>1714</v>
      </c>
      <c r="E477" t="s">
        <v>63</v>
      </c>
      <c r="F477" t="s">
        <v>39</v>
      </c>
      <c r="G477" t="s">
        <v>1715</v>
      </c>
      <c r="H477" t="s">
        <v>57</v>
      </c>
      <c r="I477" t="s">
        <v>58</v>
      </c>
      <c r="J477" s="1">
        <v>32340</v>
      </c>
      <c r="K477" t="s">
        <v>58</v>
      </c>
      <c r="L477" t="s">
        <v>1716</v>
      </c>
      <c r="M477" t="s">
        <v>549</v>
      </c>
      <c r="O477">
        <v>180032.5</v>
      </c>
    </row>
    <row r="478" spans="1:15" x14ac:dyDescent="0.35">
      <c r="A478" t="s">
        <v>15</v>
      </c>
      <c r="B478" t="s">
        <v>27</v>
      </c>
      <c r="C478" t="s">
        <v>82</v>
      </c>
      <c r="D478" t="s">
        <v>93</v>
      </c>
      <c r="E478" t="s">
        <v>94</v>
      </c>
      <c r="F478" t="s">
        <v>55</v>
      </c>
      <c r="G478" t="s">
        <v>95</v>
      </c>
      <c r="H478" t="s">
        <v>41</v>
      </c>
      <c r="I478" t="s">
        <v>23</v>
      </c>
      <c r="J478" s="1">
        <v>103070</v>
      </c>
      <c r="K478" t="s">
        <v>368</v>
      </c>
      <c r="L478" t="s">
        <v>1717</v>
      </c>
      <c r="M478" t="s">
        <v>1718</v>
      </c>
      <c r="N478">
        <v>3</v>
      </c>
      <c r="O478">
        <v>96818</v>
      </c>
    </row>
    <row r="479" spans="1:15" x14ac:dyDescent="0.35">
      <c r="A479" t="s">
        <v>15</v>
      </c>
      <c r="B479" t="s">
        <v>16</v>
      </c>
      <c r="C479" t="s">
        <v>61</v>
      </c>
      <c r="D479" t="s">
        <v>1719</v>
      </c>
      <c r="E479" t="s">
        <v>1663</v>
      </c>
      <c r="F479" t="s">
        <v>196</v>
      </c>
      <c r="G479" t="s">
        <v>1720</v>
      </c>
      <c r="H479" t="s">
        <v>41</v>
      </c>
      <c r="I479" t="s">
        <v>58</v>
      </c>
      <c r="J479" s="1">
        <v>3980</v>
      </c>
      <c r="K479" t="s">
        <v>58</v>
      </c>
      <c r="L479" t="s">
        <v>1721</v>
      </c>
      <c r="M479" t="s">
        <v>1722</v>
      </c>
      <c r="N479">
        <v>7</v>
      </c>
      <c r="O479">
        <v>35019</v>
      </c>
    </row>
    <row r="480" spans="1:15" x14ac:dyDescent="0.35">
      <c r="A480" t="s">
        <v>15</v>
      </c>
      <c r="B480" t="s">
        <v>16</v>
      </c>
      <c r="C480" t="s">
        <v>36</v>
      </c>
      <c r="D480" t="s">
        <v>869</v>
      </c>
      <c r="E480" t="s">
        <v>54</v>
      </c>
      <c r="F480" t="s">
        <v>39</v>
      </c>
      <c r="G480" t="s">
        <v>65</v>
      </c>
      <c r="H480" t="s">
        <v>41</v>
      </c>
      <c r="I480" t="s">
        <v>58</v>
      </c>
      <c r="J480">
        <v>420</v>
      </c>
      <c r="K480" t="s">
        <v>58</v>
      </c>
      <c r="L480" t="s">
        <v>1723</v>
      </c>
      <c r="M480" t="s">
        <v>60</v>
      </c>
      <c r="O480">
        <v>204594</v>
      </c>
    </row>
    <row r="481" spans="1:15" x14ac:dyDescent="0.35">
      <c r="A481" t="s">
        <v>15</v>
      </c>
      <c r="B481" t="s">
        <v>99</v>
      </c>
      <c r="C481" t="s">
        <v>36</v>
      </c>
      <c r="D481" t="s">
        <v>920</v>
      </c>
      <c r="E481" t="s">
        <v>860</v>
      </c>
      <c r="F481" t="s">
        <v>1149</v>
      </c>
      <c r="G481" t="s">
        <v>921</v>
      </c>
      <c r="H481" t="s">
        <v>22</v>
      </c>
      <c r="I481" t="s">
        <v>23</v>
      </c>
      <c r="J481" s="1">
        <v>55090</v>
      </c>
      <c r="K481" t="s">
        <v>1724</v>
      </c>
      <c r="L481" t="s">
        <v>1725</v>
      </c>
      <c r="M481" t="s">
        <v>1726</v>
      </c>
      <c r="N481">
        <v>18</v>
      </c>
      <c r="O481">
        <v>155089.5</v>
      </c>
    </row>
    <row r="482" spans="1:15" x14ac:dyDescent="0.35">
      <c r="A482" t="s">
        <v>15</v>
      </c>
      <c r="B482" t="s">
        <v>99</v>
      </c>
      <c r="C482" t="s">
        <v>36</v>
      </c>
      <c r="D482" t="s">
        <v>1727</v>
      </c>
      <c r="E482" t="s">
        <v>1728</v>
      </c>
      <c r="F482" t="s">
        <v>125</v>
      </c>
      <c r="G482" t="s">
        <v>1342</v>
      </c>
      <c r="H482" t="s">
        <v>41</v>
      </c>
      <c r="I482" t="s">
        <v>23</v>
      </c>
      <c r="J482">
        <v>510</v>
      </c>
      <c r="K482" t="s">
        <v>23</v>
      </c>
      <c r="L482" t="s">
        <v>1729</v>
      </c>
      <c r="M482" t="s">
        <v>200</v>
      </c>
      <c r="N482">
        <v>14</v>
      </c>
      <c r="O482">
        <v>107320</v>
      </c>
    </row>
    <row r="483" spans="1:15" x14ac:dyDescent="0.35">
      <c r="A483" t="s">
        <v>15</v>
      </c>
      <c r="B483" t="s">
        <v>16</v>
      </c>
      <c r="C483" t="s">
        <v>82</v>
      </c>
      <c r="D483" t="s">
        <v>1730</v>
      </c>
      <c r="E483" t="s">
        <v>1731</v>
      </c>
      <c r="F483" t="s">
        <v>125</v>
      </c>
      <c r="G483" t="s">
        <v>594</v>
      </c>
      <c r="H483" t="s">
        <v>41</v>
      </c>
      <c r="I483" t="s">
        <v>23</v>
      </c>
      <c r="J483" s="1">
        <v>9200</v>
      </c>
      <c r="K483" t="s">
        <v>23</v>
      </c>
      <c r="L483" t="s">
        <v>1732</v>
      </c>
      <c r="M483" t="s">
        <v>1733</v>
      </c>
      <c r="N483">
        <v>14</v>
      </c>
      <c r="O483">
        <v>126430</v>
      </c>
    </row>
    <row r="484" spans="1:15" x14ac:dyDescent="0.35">
      <c r="A484" t="s">
        <v>15</v>
      </c>
      <c r="B484" t="s">
        <v>27</v>
      </c>
      <c r="C484" t="s">
        <v>36</v>
      </c>
      <c r="D484" t="s">
        <v>1734</v>
      </c>
      <c r="E484" t="s">
        <v>228</v>
      </c>
      <c r="F484" t="s">
        <v>39</v>
      </c>
      <c r="G484" t="s">
        <v>1354</v>
      </c>
      <c r="H484" t="s">
        <v>41</v>
      </c>
      <c r="I484" t="s">
        <v>23</v>
      </c>
      <c r="J484" s="1">
        <v>1300</v>
      </c>
      <c r="K484" t="s">
        <v>23</v>
      </c>
      <c r="L484" t="s">
        <v>1735</v>
      </c>
      <c r="M484" t="s">
        <v>118</v>
      </c>
      <c r="O484">
        <v>155363.5</v>
      </c>
    </row>
    <row r="485" spans="1:15" x14ac:dyDescent="0.35">
      <c r="A485" t="s">
        <v>15</v>
      </c>
      <c r="B485" t="s">
        <v>16</v>
      </c>
      <c r="C485" t="s">
        <v>61</v>
      </c>
      <c r="D485" t="s">
        <v>1736</v>
      </c>
      <c r="E485" t="s">
        <v>128</v>
      </c>
      <c r="F485" t="s">
        <v>441</v>
      </c>
      <c r="G485" t="s">
        <v>412</v>
      </c>
      <c r="H485" t="s">
        <v>41</v>
      </c>
      <c r="I485" t="s">
        <v>23</v>
      </c>
      <c r="J485" s="1">
        <v>258790</v>
      </c>
      <c r="K485" t="s">
        <v>1737</v>
      </c>
      <c r="L485" t="s">
        <v>1738</v>
      </c>
      <c r="M485" t="s">
        <v>1739</v>
      </c>
      <c r="N485">
        <v>10</v>
      </c>
      <c r="O485">
        <v>42493</v>
      </c>
    </row>
    <row r="486" spans="1:15" x14ac:dyDescent="0.35">
      <c r="A486" t="s">
        <v>15</v>
      </c>
      <c r="B486" t="s">
        <v>16</v>
      </c>
      <c r="C486" t="s">
        <v>61</v>
      </c>
      <c r="D486" t="s">
        <v>445</v>
      </c>
      <c r="E486" t="s">
        <v>688</v>
      </c>
      <c r="F486" t="s">
        <v>30</v>
      </c>
      <c r="G486" t="s">
        <v>446</v>
      </c>
      <c r="H486" t="s">
        <v>41</v>
      </c>
      <c r="I486" t="s">
        <v>23</v>
      </c>
      <c r="J486" s="1">
        <v>524608</v>
      </c>
      <c r="K486" t="s">
        <v>1740</v>
      </c>
      <c r="L486" t="s">
        <v>1741</v>
      </c>
      <c r="M486" t="s">
        <v>1742</v>
      </c>
      <c r="N486">
        <v>15</v>
      </c>
      <c r="O486">
        <v>39986.5</v>
      </c>
    </row>
    <row r="487" spans="1:15" x14ac:dyDescent="0.35">
      <c r="A487" t="s">
        <v>15</v>
      </c>
      <c r="B487" t="s">
        <v>16</v>
      </c>
      <c r="C487" t="s">
        <v>36</v>
      </c>
      <c r="D487" t="s">
        <v>750</v>
      </c>
      <c r="E487" t="s">
        <v>1743</v>
      </c>
      <c r="F487" t="s">
        <v>64</v>
      </c>
      <c r="G487" t="s">
        <v>752</v>
      </c>
      <c r="H487" t="s">
        <v>41</v>
      </c>
      <c r="I487" t="s">
        <v>23</v>
      </c>
      <c r="J487" s="1">
        <v>20050</v>
      </c>
      <c r="K487" t="s">
        <v>23</v>
      </c>
      <c r="L487" t="s">
        <v>1744</v>
      </c>
      <c r="M487" t="s">
        <v>1745</v>
      </c>
      <c r="N487">
        <v>3</v>
      </c>
      <c r="O487">
        <v>167467</v>
      </c>
    </row>
    <row r="488" spans="1:15" x14ac:dyDescent="0.35">
      <c r="A488" t="s">
        <v>15</v>
      </c>
      <c r="B488" t="s">
        <v>99</v>
      </c>
      <c r="C488" t="s">
        <v>17</v>
      </c>
      <c r="D488" t="s">
        <v>253</v>
      </c>
      <c r="E488" t="s">
        <v>633</v>
      </c>
      <c r="F488" t="s">
        <v>399</v>
      </c>
      <c r="G488" t="s">
        <v>150</v>
      </c>
      <c r="H488" t="s">
        <v>57</v>
      </c>
      <c r="I488" t="s">
        <v>23</v>
      </c>
      <c r="J488" s="1">
        <v>26050</v>
      </c>
      <c r="K488" t="s">
        <v>23</v>
      </c>
      <c r="L488" t="s">
        <v>1746</v>
      </c>
      <c r="M488" t="s">
        <v>1747</v>
      </c>
      <c r="N488">
        <v>5</v>
      </c>
      <c r="O488">
        <v>137185.5</v>
      </c>
    </row>
    <row r="489" spans="1:15" x14ac:dyDescent="0.35">
      <c r="A489" t="s">
        <v>15</v>
      </c>
      <c r="B489" t="s">
        <v>16</v>
      </c>
      <c r="C489" t="s">
        <v>82</v>
      </c>
      <c r="D489" t="s">
        <v>1383</v>
      </c>
      <c r="E489" t="s">
        <v>228</v>
      </c>
      <c r="F489" t="s">
        <v>125</v>
      </c>
      <c r="G489" t="s">
        <v>1384</v>
      </c>
      <c r="H489" t="s">
        <v>41</v>
      </c>
      <c r="I489" t="s">
        <v>58</v>
      </c>
      <c r="J489">
        <v>90</v>
      </c>
      <c r="K489" t="s">
        <v>58</v>
      </c>
      <c r="L489" t="s">
        <v>1748</v>
      </c>
      <c r="M489" t="s">
        <v>110</v>
      </c>
      <c r="N489">
        <v>14</v>
      </c>
      <c r="O489">
        <v>128270</v>
      </c>
    </row>
    <row r="490" spans="1:15" x14ac:dyDescent="0.35">
      <c r="A490" t="s">
        <v>15</v>
      </c>
      <c r="B490" t="s">
        <v>16</v>
      </c>
      <c r="C490" t="s">
        <v>17</v>
      </c>
      <c r="D490" t="s">
        <v>1749</v>
      </c>
      <c r="E490" t="s">
        <v>1750</v>
      </c>
      <c r="F490" t="s">
        <v>441</v>
      </c>
      <c r="G490" t="s">
        <v>1751</v>
      </c>
      <c r="H490" t="s">
        <v>57</v>
      </c>
      <c r="I490" t="s">
        <v>23</v>
      </c>
      <c r="J490" s="1">
        <v>18200</v>
      </c>
      <c r="K490" t="s">
        <v>1752</v>
      </c>
      <c r="L490" t="s">
        <v>1753</v>
      </c>
      <c r="M490" t="s">
        <v>81</v>
      </c>
      <c r="N490">
        <v>10</v>
      </c>
      <c r="O490">
        <v>125043</v>
      </c>
    </row>
    <row r="491" spans="1:15" x14ac:dyDescent="0.35">
      <c r="A491" t="s">
        <v>15</v>
      </c>
      <c r="B491" t="s">
        <v>16</v>
      </c>
      <c r="C491" t="s">
        <v>82</v>
      </c>
      <c r="D491" t="s">
        <v>1754</v>
      </c>
      <c r="E491" t="s">
        <v>1755</v>
      </c>
      <c r="F491" t="s">
        <v>39</v>
      </c>
      <c r="G491" t="s">
        <v>412</v>
      </c>
      <c r="H491" t="s">
        <v>41</v>
      </c>
      <c r="I491" t="s">
        <v>58</v>
      </c>
      <c r="J491">
        <v>360</v>
      </c>
      <c r="K491" t="s">
        <v>1756</v>
      </c>
      <c r="L491" t="s">
        <v>1757</v>
      </c>
      <c r="M491" t="s">
        <v>1758</v>
      </c>
      <c r="O491">
        <v>173540</v>
      </c>
    </row>
    <row r="492" spans="1:15" x14ac:dyDescent="0.35">
      <c r="A492" t="s">
        <v>15</v>
      </c>
      <c r="B492" t="s">
        <v>16</v>
      </c>
      <c r="C492" t="s">
        <v>36</v>
      </c>
      <c r="D492" t="s">
        <v>1759</v>
      </c>
      <c r="E492" t="s">
        <v>1760</v>
      </c>
      <c r="F492" t="s">
        <v>513</v>
      </c>
      <c r="G492" t="s">
        <v>65</v>
      </c>
      <c r="H492" t="s">
        <v>41</v>
      </c>
      <c r="I492" t="s">
        <v>58</v>
      </c>
      <c r="J492">
        <v>900</v>
      </c>
      <c r="K492" t="s">
        <v>1761</v>
      </c>
      <c r="L492" t="s">
        <v>1762</v>
      </c>
      <c r="M492" t="s">
        <v>60</v>
      </c>
      <c r="N492">
        <v>22</v>
      </c>
      <c r="O492">
        <v>172624</v>
      </c>
    </row>
    <row r="493" spans="1:15" x14ac:dyDescent="0.35">
      <c r="A493" t="s">
        <v>15</v>
      </c>
      <c r="B493" t="s">
        <v>16</v>
      </c>
      <c r="C493" t="s">
        <v>36</v>
      </c>
      <c r="D493" t="s">
        <v>1763</v>
      </c>
      <c r="E493" t="s">
        <v>1764</v>
      </c>
      <c r="F493" t="s">
        <v>47</v>
      </c>
      <c r="G493" t="s">
        <v>1765</v>
      </c>
      <c r="H493" t="s">
        <v>41</v>
      </c>
      <c r="I493" t="s">
        <v>61</v>
      </c>
      <c r="J493" t="s">
        <v>58</v>
      </c>
      <c r="K493" t="s">
        <v>965</v>
      </c>
      <c r="L493" t="s">
        <v>1766</v>
      </c>
      <c r="M493" t="s">
        <v>1767</v>
      </c>
      <c r="N493">
        <v>8</v>
      </c>
      <c r="O493">
        <v>138696.5</v>
      </c>
    </row>
    <row r="494" spans="1:15" x14ac:dyDescent="0.35">
      <c r="A494" t="s">
        <v>15</v>
      </c>
      <c r="B494" t="s">
        <v>52</v>
      </c>
      <c r="C494" t="s">
        <v>36</v>
      </c>
      <c r="D494" t="s">
        <v>286</v>
      </c>
      <c r="E494" t="s">
        <v>1690</v>
      </c>
      <c r="F494" t="s">
        <v>39</v>
      </c>
      <c r="G494" t="s">
        <v>90</v>
      </c>
      <c r="H494" t="s">
        <v>57</v>
      </c>
      <c r="I494" t="s">
        <v>58</v>
      </c>
      <c r="J494">
        <v>950</v>
      </c>
      <c r="K494" t="s">
        <v>1768</v>
      </c>
      <c r="L494" t="s">
        <v>1769</v>
      </c>
      <c r="M494" t="s">
        <v>60</v>
      </c>
      <c r="O494">
        <v>156179.5</v>
      </c>
    </row>
    <row r="495" spans="1:15" x14ac:dyDescent="0.35">
      <c r="A495" t="s">
        <v>15</v>
      </c>
      <c r="B495" t="s">
        <v>99</v>
      </c>
      <c r="C495" t="s">
        <v>82</v>
      </c>
      <c r="D495" t="s">
        <v>962</v>
      </c>
      <c r="E495" t="s">
        <v>1770</v>
      </c>
      <c r="F495" t="s">
        <v>125</v>
      </c>
      <c r="G495" t="s">
        <v>964</v>
      </c>
      <c r="H495" t="s">
        <v>41</v>
      </c>
      <c r="I495" t="s">
        <v>61</v>
      </c>
      <c r="J495" t="s">
        <v>58</v>
      </c>
      <c r="K495" t="s">
        <v>965</v>
      </c>
      <c r="L495" t="s">
        <v>1771</v>
      </c>
      <c r="M495" t="s">
        <v>110</v>
      </c>
      <c r="N495">
        <v>14</v>
      </c>
      <c r="O495">
        <v>25211</v>
      </c>
    </row>
    <row r="496" spans="1:15" x14ac:dyDescent="0.35">
      <c r="A496" t="s">
        <v>15</v>
      </c>
      <c r="B496" t="s">
        <v>52</v>
      </c>
      <c r="C496" t="s">
        <v>17</v>
      </c>
      <c r="D496" t="s">
        <v>257</v>
      </c>
      <c r="E496" t="s">
        <v>1694</v>
      </c>
      <c r="F496" t="s">
        <v>196</v>
      </c>
      <c r="G496" t="s">
        <v>90</v>
      </c>
      <c r="H496" t="s">
        <v>41</v>
      </c>
      <c r="I496" t="s">
        <v>23</v>
      </c>
      <c r="J496" s="1">
        <v>5010</v>
      </c>
      <c r="K496" t="s">
        <v>1695</v>
      </c>
      <c r="L496" t="s">
        <v>1772</v>
      </c>
      <c r="M496" t="s">
        <v>60</v>
      </c>
      <c r="N496">
        <v>7</v>
      </c>
      <c r="O496">
        <v>110972</v>
      </c>
    </row>
    <row r="497" spans="1:15" x14ac:dyDescent="0.35">
      <c r="A497" t="s">
        <v>15</v>
      </c>
      <c r="B497" t="s">
        <v>16</v>
      </c>
      <c r="C497" t="s">
        <v>61</v>
      </c>
      <c r="D497" t="s">
        <v>1773</v>
      </c>
      <c r="E497" t="s">
        <v>1774</v>
      </c>
      <c r="F497" t="s">
        <v>64</v>
      </c>
      <c r="G497" t="s">
        <v>1775</v>
      </c>
      <c r="H497" t="s">
        <v>73</v>
      </c>
      <c r="I497" t="s">
        <v>61</v>
      </c>
      <c r="J497" s="1">
        <v>19503</v>
      </c>
      <c r="K497" t="s">
        <v>73</v>
      </c>
      <c r="L497" t="s">
        <v>1776</v>
      </c>
      <c r="M497" t="s">
        <v>1777</v>
      </c>
      <c r="N497">
        <v>3</v>
      </c>
      <c r="O497">
        <v>57085</v>
      </c>
    </row>
    <row r="498" spans="1:15" x14ac:dyDescent="0.35">
      <c r="A498" t="s">
        <v>15</v>
      </c>
      <c r="B498" t="s">
        <v>16</v>
      </c>
      <c r="C498" t="s">
        <v>17</v>
      </c>
      <c r="D498" t="s">
        <v>1778</v>
      </c>
      <c r="E498" t="s">
        <v>1779</v>
      </c>
      <c r="F498" t="s">
        <v>39</v>
      </c>
      <c r="G498" t="s">
        <v>1780</v>
      </c>
      <c r="H498" t="s">
        <v>41</v>
      </c>
      <c r="I498" t="s">
        <v>58</v>
      </c>
      <c r="J498">
        <v>150</v>
      </c>
      <c r="K498" t="s">
        <v>58</v>
      </c>
      <c r="L498" t="s">
        <v>1781</v>
      </c>
      <c r="M498" t="s">
        <v>1782</v>
      </c>
      <c r="O498">
        <v>189517</v>
      </c>
    </row>
    <row r="499" spans="1:15" x14ac:dyDescent="0.35">
      <c r="A499" t="s">
        <v>15</v>
      </c>
      <c r="B499" t="s">
        <v>16</v>
      </c>
      <c r="C499" t="s">
        <v>61</v>
      </c>
      <c r="D499" t="s">
        <v>1783</v>
      </c>
      <c r="E499" t="s">
        <v>1784</v>
      </c>
      <c r="F499" t="s">
        <v>277</v>
      </c>
      <c r="G499" t="s">
        <v>1785</v>
      </c>
      <c r="H499" t="s">
        <v>41</v>
      </c>
      <c r="I499" t="s">
        <v>58</v>
      </c>
      <c r="J499" s="1">
        <v>4770</v>
      </c>
      <c r="K499" t="s">
        <v>58</v>
      </c>
      <c r="L499" t="s">
        <v>1786</v>
      </c>
      <c r="M499" t="s">
        <v>1024</v>
      </c>
      <c r="N499">
        <v>12</v>
      </c>
      <c r="O499">
        <v>53099</v>
      </c>
    </row>
    <row r="500" spans="1:15" x14ac:dyDescent="0.35">
      <c r="A500" t="s">
        <v>15</v>
      </c>
      <c r="B500" t="s">
        <v>16</v>
      </c>
      <c r="C500" t="s">
        <v>36</v>
      </c>
      <c r="D500" t="s">
        <v>1787</v>
      </c>
      <c r="E500" t="s">
        <v>248</v>
      </c>
      <c r="F500" t="s">
        <v>431</v>
      </c>
      <c r="G500" t="s">
        <v>249</v>
      </c>
      <c r="H500" t="s">
        <v>115</v>
      </c>
      <c r="I500" t="s">
        <v>58</v>
      </c>
      <c r="J500" s="1">
        <v>1530</v>
      </c>
      <c r="K500" t="s">
        <v>58</v>
      </c>
      <c r="L500" t="s">
        <v>1788</v>
      </c>
      <c r="M500" t="s">
        <v>1789</v>
      </c>
      <c r="N500">
        <v>21</v>
      </c>
      <c r="O500">
        <v>191712.5</v>
      </c>
    </row>
    <row r="501" spans="1:15" x14ac:dyDescent="0.35">
      <c r="A501" t="s">
        <v>15</v>
      </c>
      <c r="B501" t="s">
        <v>16</v>
      </c>
      <c r="C501" t="s">
        <v>36</v>
      </c>
      <c r="D501" t="s">
        <v>1790</v>
      </c>
      <c r="E501" t="s">
        <v>1791</v>
      </c>
      <c r="F501" t="s">
        <v>203</v>
      </c>
      <c r="G501" t="s">
        <v>514</v>
      </c>
      <c r="H501" t="s">
        <v>41</v>
      </c>
      <c r="I501" t="s">
        <v>23</v>
      </c>
      <c r="J501" s="1">
        <v>51070</v>
      </c>
      <c r="K501" t="s">
        <v>23</v>
      </c>
      <c r="L501" t="s">
        <v>1792</v>
      </c>
      <c r="M501" t="s">
        <v>1793</v>
      </c>
      <c r="N501">
        <v>25</v>
      </c>
      <c r="O501">
        <v>178628.5</v>
      </c>
    </row>
    <row r="502" spans="1:15" x14ac:dyDescent="0.35">
      <c r="A502" t="s">
        <v>15</v>
      </c>
      <c r="B502" t="s">
        <v>16</v>
      </c>
      <c r="C502" t="s">
        <v>61</v>
      </c>
      <c r="D502" t="s">
        <v>1794</v>
      </c>
      <c r="E502" t="s">
        <v>94</v>
      </c>
      <c r="F502" t="s">
        <v>1239</v>
      </c>
      <c r="G502" t="s">
        <v>238</v>
      </c>
      <c r="H502" t="s">
        <v>22</v>
      </c>
      <c r="I502" t="s">
        <v>23</v>
      </c>
      <c r="J502" s="1">
        <v>500010</v>
      </c>
      <c r="K502" t="s">
        <v>23</v>
      </c>
      <c r="L502" t="s">
        <v>1795</v>
      </c>
      <c r="M502" t="s">
        <v>300</v>
      </c>
      <c r="N502">
        <v>6</v>
      </c>
      <c r="O502">
        <v>111435</v>
      </c>
    </row>
    <row r="503" spans="1:15" x14ac:dyDescent="0.35">
      <c r="A503" t="s">
        <v>15</v>
      </c>
      <c r="B503" t="s">
        <v>16</v>
      </c>
      <c r="C503" t="s">
        <v>17</v>
      </c>
      <c r="D503" t="s">
        <v>45</v>
      </c>
      <c r="E503" t="s">
        <v>776</v>
      </c>
      <c r="F503" t="s">
        <v>64</v>
      </c>
      <c r="G503" t="s">
        <v>48</v>
      </c>
      <c r="H503" t="s">
        <v>41</v>
      </c>
      <c r="I503" t="s">
        <v>23</v>
      </c>
      <c r="J503" s="1">
        <v>34660</v>
      </c>
      <c r="K503" t="s">
        <v>1796</v>
      </c>
      <c r="L503" t="s">
        <v>1797</v>
      </c>
      <c r="M503" t="s">
        <v>110</v>
      </c>
      <c r="N503">
        <v>3</v>
      </c>
      <c r="O503">
        <v>189449.5</v>
      </c>
    </row>
    <row r="504" spans="1:15" x14ac:dyDescent="0.35">
      <c r="A504" t="s">
        <v>75</v>
      </c>
      <c r="B504" t="s">
        <v>16</v>
      </c>
      <c r="C504" t="s">
        <v>82</v>
      </c>
      <c r="D504" t="s">
        <v>1320</v>
      </c>
      <c r="E504" t="s">
        <v>1798</v>
      </c>
      <c r="F504" t="s">
        <v>89</v>
      </c>
      <c r="G504" t="s">
        <v>1322</v>
      </c>
      <c r="H504" t="s">
        <v>115</v>
      </c>
      <c r="I504" t="s">
        <v>23</v>
      </c>
      <c r="J504" s="1">
        <v>22020</v>
      </c>
      <c r="K504" t="s">
        <v>23</v>
      </c>
      <c r="L504" t="s">
        <v>1799</v>
      </c>
      <c r="M504" t="s">
        <v>200</v>
      </c>
      <c r="O504">
        <v>139476.5</v>
      </c>
    </row>
    <row r="505" spans="1:15" x14ac:dyDescent="0.35">
      <c r="A505" t="s">
        <v>15</v>
      </c>
      <c r="B505" t="s">
        <v>16</v>
      </c>
      <c r="C505" t="s">
        <v>82</v>
      </c>
      <c r="D505" t="s">
        <v>436</v>
      </c>
      <c r="E505" t="s">
        <v>84</v>
      </c>
      <c r="F505" t="s">
        <v>312</v>
      </c>
      <c r="G505" t="s">
        <v>90</v>
      </c>
      <c r="H505" t="s">
        <v>41</v>
      </c>
      <c r="I505" t="s">
        <v>23</v>
      </c>
      <c r="J505" s="1">
        <v>4110</v>
      </c>
      <c r="K505" t="s">
        <v>1800</v>
      </c>
      <c r="L505" t="s">
        <v>1801</v>
      </c>
      <c r="M505" t="s">
        <v>60</v>
      </c>
      <c r="N505">
        <v>4</v>
      </c>
      <c r="O505">
        <v>196419.5</v>
      </c>
    </row>
    <row r="506" spans="1:15" x14ac:dyDescent="0.35">
      <c r="A506" t="s">
        <v>75</v>
      </c>
      <c r="B506" t="s">
        <v>69</v>
      </c>
      <c r="C506" t="s">
        <v>61</v>
      </c>
      <c r="D506" t="s">
        <v>1802</v>
      </c>
      <c r="E506" t="s">
        <v>128</v>
      </c>
      <c r="F506" t="s">
        <v>125</v>
      </c>
      <c r="G506" t="s">
        <v>1803</v>
      </c>
      <c r="H506" t="s">
        <v>41</v>
      </c>
      <c r="I506" t="s">
        <v>23</v>
      </c>
      <c r="J506" s="1">
        <v>492245</v>
      </c>
      <c r="K506" t="s">
        <v>1804</v>
      </c>
      <c r="L506" t="s">
        <v>1805</v>
      </c>
      <c r="M506" t="s">
        <v>81</v>
      </c>
      <c r="N506">
        <v>14</v>
      </c>
      <c r="O506">
        <v>18357.5</v>
      </c>
    </row>
    <row r="507" spans="1:15" x14ac:dyDescent="0.35">
      <c r="A507" t="s">
        <v>15</v>
      </c>
      <c r="B507" t="s">
        <v>16</v>
      </c>
      <c r="C507" t="s">
        <v>82</v>
      </c>
      <c r="D507" t="s">
        <v>1226</v>
      </c>
      <c r="E507" t="s">
        <v>1806</v>
      </c>
      <c r="F507" t="s">
        <v>513</v>
      </c>
      <c r="G507" t="s">
        <v>381</v>
      </c>
      <c r="H507" t="s">
        <v>41</v>
      </c>
      <c r="I507" t="s">
        <v>23</v>
      </c>
      <c r="J507" s="1">
        <v>2540</v>
      </c>
      <c r="K507" t="s">
        <v>23</v>
      </c>
      <c r="L507" t="s">
        <v>1227</v>
      </c>
      <c r="M507" t="s">
        <v>60</v>
      </c>
      <c r="N507">
        <v>22</v>
      </c>
      <c r="O507">
        <v>168972.5</v>
      </c>
    </row>
    <row r="508" spans="1:15" x14ac:dyDescent="0.35">
      <c r="A508" t="s">
        <v>15</v>
      </c>
      <c r="B508" t="s">
        <v>16</v>
      </c>
      <c r="C508" t="s">
        <v>17</v>
      </c>
      <c r="D508" t="s">
        <v>1807</v>
      </c>
      <c r="E508" t="s">
        <v>1808</v>
      </c>
      <c r="F508" t="s">
        <v>39</v>
      </c>
      <c r="G508" t="s">
        <v>1809</v>
      </c>
      <c r="H508" t="s">
        <v>41</v>
      </c>
      <c r="I508" t="s">
        <v>23</v>
      </c>
      <c r="J508" s="1">
        <v>57290</v>
      </c>
      <c r="K508" t="s">
        <v>1810</v>
      </c>
      <c r="L508" t="s">
        <v>1811</v>
      </c>
      <c r="M508" t="s">
        <v>1812</v>
      </c>
      <c r="O508">
        <v>105769</v>
      </c>
    </row>
    <row r="509" spans="1:15" x14ac:dyDescent="0.35">
      <c r="A509" t="s">
        <v>15</v>
      </c>
      <c r="B509" t="s">
        <v>27</v>
      </c>
      <c r="C509" t="s">
        <v>17</v>
      </c>
      <c r="D509" t="s">
        <v>1363</v>
      </c>
      <c r="E509" t="s">
        <v>614</v>
      </c>
      <c r="F509" t="s">
        <v>39</v>
      </c>
      <c r="G509" t="s">
        <v>1342</v>
      </c>
      <c r="H509" t="s">
        <v>41</v>
      </c>
      <c r="I509" t="s">
        <v>58</v>
      </c>
      <c r="J509">
        <v>150</v>
      </c>
      <c r="K509" t="s">
        <v>58</v>
      </c>
      <c r="L509" t="s">
        <v>1813</v>
      </c>
      <c r="M509" t="s">
        <v>60</v>
      </c>
      <c r="O509">
        <v>258479</v>
      </c>
    </row>
    <row r="510" spans="1:15" x14ac:dyDescent="0.35">
      <c r="A510" t="s">
        <v>15</v>
      </c>
      <c r="B510" t="s">
        <v>16</v>
      </c>
      <c r="C510" t="s">
        <v>61</v>
      </c>
      <c r="D510" t="s">
        <v>550</v>
      </c>
      <c r="E510" t="s">
        <v>1814</v>
      </c>
      <c r="F510" t="s">
        <v>244</v>
      </c>
      <c r="G510" t="s">
        <v>65</v>
      </c>
      <c r="H510" t="s">
        <v>41</v>
      </c>
      <c r="I510" t="s">
        <v>23</v>
      </c>
      <c r="J510" s="1">
        <v>10060</v>
      </c>
      <c r="K510" t="s">
        <v>23</v>
      </c>
      <c r="L510" t="s">
        <v>1815</v>
      </c>
      <c r="M510" t="s">
        <v>1816</v>
      </c>
      <c r="N510">
        <v>2</v>
      </c>
      <c r="O510">
        <v>76371</v>
      </c>
    </row>
    <row r="511" spans="1:15" x14ac:dyDescent="0.35">
      <c r="A511" t="s">
        <v>15</v>
      </c>
      <c r="B511" t="s">
        <v>27</v>
      </c>
      <c r="C511" t="s">
        <v>17</v>
      </c>
      <c r="D511" t="s">
        <v>1817</v>
      </c>
      <c r="E511" t="s">
        <v>507</v>
      </c>
      <c r="F511" t="s">
        <v>39</v>
      </c>
      <c r="G511" t="s">
        <v>65</v>
      </c>
      <c r="H511" t="s">
        <v>41</v>
      </c>
      <c r="I511" t="s">
        <v>58</v>
      </c>
      <c r="J511" s="1">
        <v>2020</v>
      </c>
      <c r="K511" t="s">
        <v>58</v>
      </c>
      <c r="L511" t="s">
        <v>1818</v>
      </c>
      <c r="M511" t="s">
        <v>60</v>
      </c>
      <c r="O511">
        <v>155270.5</v>
      </c>
    </row>
    <row r="512" spans="1:15" x14ac:dyDescent="0.35">
      <c r="A512" t="s">
        <v>75</v>
      </c>
      <c r="B512" t="s">
        <v>16</v>
      </c>
      <c r="C512" t="s">
        <v>36</v>
      </c>
      <c r="D512" t="s">
        <v>410</v>
      </c>
      <c r="E512" t="s">
        <v>411</v>
      </c>
      <c r="F512" t="s">
        <v>847</v>
      </c>
      <c r="G512" t="s">
        <v>412</v>
      </c>
      <c r="H512" t="s">
        <v>41</v>
      </c>
      <c r="I512" t="s">
        <v>58</v>
      </c>
      <c r="J512">
        <v>900</v>
      </c>
      <c r="K512" t="s">
        <v>1819</v>
      </c>
      <c r="L512" t="s">
        <v>1820</v>
      </c>
      <c r="M512" t="s">
        <v>60</v>
      </c>
      <c r="N512">
        <v>16</v>
      </c>
      <c r="O512">
        <v>230802</v>
      </c>
    </row>
    <row r="513" spans="1:15" x14ac:dyDescent="0.35">
      <c r="A513" t="s">
        <v>15</v>
      </c>
      <c r="B513" t="s">
        <v>16</v>
      </c>
      <c r="C513" t="s">
        <v>36</v>
      </c>
      <c r="D513" t="s">
        <v>664</v>
      </c>
      <c r="E513" t="s">
        <v>1814</v>
      </c>
      <c r="F513" t="s">
        <v>1239</v>
      </c>
      <c r="G513" t="s">
        <v>79</v>
      </c>
      <c r="H513" t="s">
        <v>41</v>
      </c>
      <c r="I513" t="s">
        <v>23</v>
      </c>
      <c r="J513" s="1">
        <v>94530</v>
      </c>
      <c r="K513" t="s">
        <v>1821</v>
      </c>
      <c r="L513" t="s">
        <v>1822</v>
      </c>
      <c r="M513" t="s">
        <v>51</v>
      </c>
      <c r="N513">
        <v>6</v>
      </c>
      <c r="O513">
        <v>124437.5</v>
      </c>
    </row>
    <row r="514" spans="1:15" x14ac:dyDescent="0.35">
      <c r="A514" t="s">
        <v>75</v>
      </c>
      <c r="B514" t="s">
        <v>16</v>
      </c>
      <c r="C514" t="s">
        <v>82</v>
      </c>
      <c r="D514" t="s">
        <v>1823</v>
      </c>
      <c r="E514" t="s">
        <v>243</v>
      </c>
      <c r="F514" t="s">
        <v>431</v>
      </c>
      <c r="G514" t="s">
        <v>90</v>
      </c>
      <c r="H514" t="s">
        <v>41</v>
      </c>
      <c r="I514" t="s">
        <v>58</v>
      </c>
      <c r="J514">
        <v>150</v>
      </c>
      <c r="K514" t="s">
        <v>58</v>
      </c>
      <c r="L514" t="s">
        <v>1824</v>
      </c>
      <c r="M514" t="s">
        <v>1825</v>
      </c>
      <c r="N514">
        <v>21</v>
      </c>
      <c r="O514">
        <v>178105.5</v>
      </c>
    </row>
    <row r="515" spans="1:15" x14ac:dyDescent="0.35">
      <c r="A515" t="s">
        <v>15</v>
      </c>
      <c r="B515" t="s">
        <v>16</v>
      </c>
      <c r="C515" t="s">
        <v>82</v>
      </c>
      <c r="D515" t="s">
        <v>1826</v>
      </c>
      <c r="E515" t="s">
        <v>243</v>
      </c>
      <c r="F515" t="s">
        <v>125</v>
      </c>
      <c r="G515" t="s">
        <v>65</v>
      </c>
      <c r="H515" t="s">
        <v>41</v>
      </c>
      <c r="I515" t="s">
        <v>58</v>
      </c>
      <c r="J515">
        <v>30</v>
      </c>
      <c r="K515" t="s">
        <v>58</v>
      </c>
      <c r="L515" t="s">
        <v>1827</v>
      </c>
      <c r="M515" t="s">
        <v>300</v>
      </c>
      <c r="N515">
        <v>14</v>
      </c>
      <c r="O515">
        <v>141567.5</v>
      </c>
    </row>
    <row r="516" spans="1:15" x14ac:dyDescent="0.35">
      <c r="A516" t="s">
        <v>15</v>
      </c>
      <c r="B516" t="s">
        <v>27</v>
      </c>
      <c r="C516" t="s">
        <v>82</v>
      </c>
      <c r="D516" t="s">
        <v>1828</v>
      </c>
      <c r="E516" t="s">
        <v>63</v>
      </c>
      <c r="F516" t="s">
        <v>196</v>
      </c>
      <c r="G516" t="s">
        <v>65</v>
      </c>
      <c r="H516" t="s">
        <v>57</v>
      </c>
      <c r="I516" t="s">
        <v>58</v>
      </c>
      <c r="J516" s="1">
        <v>8010</v>
      </c>
      <c r="K516" t="s">
        <v>58</v>
      </c>
      <c r="L516" t="s">
        <v>1829</v>
      </c>
      <c r="M516" t="s">
        <v>147</v>
      </c>
      <c r="N516">
        <v>7</v>
      </c>
      <c r="O516">
        <v>179755</v>
      </c>
    </row>
    <row r="517" spans="1:15" x14ac:dyDescent="0.35">
      <c r="A517" t="s">
        <v>15</v>
      </c>
      <c r="B517" t="s">
        <v>16</v>
      </c>
      <c r="C517" t="s">
        <v>61</v>
      </c>
      <c r="D517" t="s">
        <v>190</v>
      </c>
      <c r="E517" t="s">
        <v>191</v>
      </c>
      <c r="F517" t="s">
        <v>39</v>
      </c>
      <c r="G517" t="s">
        <v>90</v>
      </c>
      <c r="H517" t="s">
        <v>41</v>
      </c>
      <c r="I517" t="s">
        <v>23</v>
      </c>
      <c r="J517" s="1">
        <v>26910</v>
      </c>
      <c r="K517" t="s">
        <v>1830</v>
      </c>
      <c r="L517" t="s">
        <v>1831</v>
      </c>
      <c r="M517" t="s">
        <v>475</v>
      </c>
      <c r="O517">
        <v>72513</v>
      </c>
    </row>
    <row r="518" spans="1:15" x14ac:dyDescent="0.35">
      <c r="A518" t="s">
        <v>15</v>
      </c>
      <c r="B518" t="s">
        <v>52</v>
      </c>
      <c r="C518" t="s">
        <v>17</v>
      </c>
      <c r="D518" t="s">
        <v>1832</v>
      </c>
      <c r="E518" t="s">
        <v>507</v>
      </c>
      <c r="F518" t="s">
        <v>85</v>
      </c>
      <c r="G518" t="s">
        <v>1833</v>
      </c>
      <c r="H518" t="s">
        <v>73</v>
      </c>
      <c r="I518" t="s">
        <v>58</v>
      </c>
      <c r="J518">
        <v>390</v>
      </c>
      <c r="K518" t="s">
        <v>58</v>
      </c>
      <c r="L518" t="s">
        <v>1834</v>
      </c>
      <c r="M518" t="s">
        <v>60</v>
      </c>
      <c r="N518">
        <v>6</v>
      </c>
      <c r="O518">
        <v>123300</v>
      </c>
    </row>
    <row r="519" spans="1:15" x14ac:dyDescent="0.35">
      <c r="A519" t="s">
        <v>15</v>
      </c>
      <c r="B519" t="s">
        <v>16</v>
      </c>
      <c r="C519" t="s">
        <v>17</v>
      </c>
      <c r="D519" t="s">
        <v>392</v>
      </c>
      <c r="E519" t="s">
        <v>1835</v>
      </c>
      <c r="F519" t="s">
        <v>277</v>
      </c>
      <c r="G519" t="s">
        <v>90</v>
      </c>
      <c r="H519" t="s">
        <v>57</v>
      </c>
      <c r="I519" t="s">
        <v>58</v>
      </c>
      <c r="J519">
        <v>780</v>
      </c>
      <c r="K519" t="s">
        <v>395</v>
      </c>
      <c r="L519" t="s">
        <v>1836</v>
      </c>
      <c r="M519" t="s">
        <v>60</v>
      </c>
      <c r="N519">
        <v>12</v>
      </c>
      <c r="O519">
        <v>208244</v>
      </c>
    </row>
    <row r="520" spans="1:15" x14ac:dyDescent="0.35">
      <c r="A520" t="s">
        <v>15</v>
      </c>
      <c r="B520" t="s">
        <v>99</v>
      </c>
      <c r="C520" t="s">
        <v>36</v>
      </c>
      <c r="D520" t="s">
        <v>1837</v>
      </c>
      <c r="E520" t="s">
        <v>1838</v>
      </c>
      <c r="F520" t="s">
        <v>30</v>
      </c>
      <c r="G520" t="s">
        <v>65</v>
      </c>
      <c r="H520" t="s">
        <v>41</v>
      </c>
      <c r="I520" t="s">
        <v>58</v>
      </c>
      <c r="J520" s="1">
        <v>30060</v>
      </c>
      <c r="K520" t="s">
        <v>58</v>
      </c>
      <c r="L520" t="s">
        <v>1839</v>
      </c>
      <c r="M520" t="s">
        <v>1840</v>
      </c>
      <c r="N520">
        <v>15</v>
      </c>
      <c r="O520">
        <v>24227</v>
      </c>
    </row>
    <row r="521" spans="1:15" x14ac:dyDescent="0.35">
      <c r="A521" t="s">
        <v>15</v>
      </c>
      <c r="B521" t="s">
        <v>16</v>
      </c>
      <c r="C521" t="s">
        <v>61</v>
      </c>
      <c r="D521" t="s">
        <v>1841</v>
      </c>
      <c r="E521" t="s">
        <v>1842</v>
      </c>
      <c r="F521" t="s">
        <v>125</v>
      </c>
      <c r="G521" t="s">
        <v>1843</v>
      </c>
      <c r="H521" t="s">
        <v>41</v>
      </c>
      <c r="I521" t="s">
        <v>58</v>
      </c>
      <c r="J521">
        <v>15</v>
      </c>
      <c r="K521" t="s">
        <v>58</v>
      </c>
      <c r="L521" t="s">
        <v>1844</v>
      </c>
      <c r="M521" t="s">
        <v>60</v>
      </c>
      <c r="N521">
        <v>14</v>
      </c>
      <c r="O521">
        <v>182670</v>
      </c>
    </row>
    <row r="522" spans="1:15" x14ac:dyDescent="0.35">
      <c r="A522" t="s">
        <v>15</v>
      </c>
      <c r="B522" t="s">
        <v>52</v>
      </c>
      <c r="C522" t="s">
        <v>82</v>
      </c>
      <c r="D522" t="s">
        <v>1293</v>
      </c>
      <c r="E522" t="s">
        <v>354</v>
      </c>
      <c r="F522" t="s">
        <v>85</v>
      </c>
      <c r="G522" t="s">
        <v>1294</v>
      </c>
      <c r="H522" t="s">
        <v>41</v>
      </c>
      <c r="I522" t="s">
        <v>58</v>
      </c>
      <c r="J522">
        <v>45</v>
      </c>
      <c r="K522" t="s">
        <v>58</v>
      </c>
      <c r="L522" t="s">
        <v>1845</v>
      </c>
      <c r="M522" t="s">
        <v>60</v>
      </c>
      <c r="N522">
        <v>6</v>
      </c>
      <c r="O522">
        <v>150707.5</v>
      </c>
    </row>
    <row r="523" spans="1:15" x14ac:dyDescent="0.35">
      <c r="A523" t="s">
        <v>15</v>
      </c>
      <c r="B523" t="s">
        <v>16</v>
      </c>
      <c r="C523" t="s">
        <v>61</v>
      </c>
      <c r="D523" t="s">
        <v>655</v>
      </c>
      <c r="E523" t="s">
        <v>1331</v>
      </c>
      <c r="F523" t="s">
        <v>196</v>
      </c>
      <c r="G523" t="s">
        <v>656</v>
      </c>
      <c r="H523" t="s">
        <v>115</v>
      </c>
      <c r="I523" t="s">
        <v>23</v>
      </c>
      <c r="J523" s="1">
        <v>300070</v>
      </c>
      <c r="K523" t="s">
        <v>1846</v>
      </c>
      <c r="L523" t="s">
        <v>1847</v>
      </c>
      <c r="M523" t="s">
        <v>1848</v>
      </c>
      <c r="N523">
        <v>7</v>
      </c>
      <c r="O523">
        <v>139705</v>
      </c>
    </row>
    <row r="524" spans="1:15" x14ac:dyDescent="0.35">
      <c r="A524" t="s">
        <v>15</v>
      </c>
      <c r="B524" t="s">
        <v>16</v>
      </c>
      <c r="C524" t="s">
        <v>17</v>
      </c>
      <c r="D524" t="s">
        <v>334</v>
      </c>
      <c r="E524" t="s">
        <v>335</v>
      </c>
      <c r="F524" t="s">
        <v>89</v>
      </c>
      <c r="G524" t="s">
        <v>336</v>
      </c>
      <c r="H524" t="s">
        <v>57</v>
      </c>
      <c r="I524" t="s">
        <v>23</v>
      </c>
      <c r="J524" s="1">
        <v>68430</v>
      </c>
      <c r="K524" t="s">
        <v>23</v>
      </c>
      <c r="L524" t="s">
        <v>337</v>
      </c>
      <c r="M524" t="s">
        <v>338</v>
      </c>
      <c r="O524">
        <v>24205</v>
      </c>
    </row>
    <row r="525" spans="1:15" x14ac:dyDescent="0.35">
      <c r="A525" t="s">
        <v>15</v>
      </c>
      <c r="B525" t="s">
        <v>27</v>
      </c>
      <c r="C525" t="s">
        <v>61</v>
      </c>
      <c r="D525" t="s">
        <v>601</v>
      </c>
      <c r="E525" t="s">
        <v>128</v>
      </c>
      <c r="F525" t="s">
        <v>399</v>
      </c>
      <c r="G525" t="s">
        <v>65</v>
      </c>
      <c r="H525" t="s">
        <v>57</v>
      </c>
      <c r="I525" t="s">
        <v>23</v>
      </c>
      <c r="J525" s="1">
        <v>290770</v>
      </c>
      <c r="K525" t="s">
        <v>1849</v>
      </c>
      <c r="L525" t="s">
        <v>1850</v>
      </c>
      <c r="M525" t="s">
        <v>241</v>
      </c>
      <c r="N525">
        <v>5</v>
      </c>
      <c r="O525">
        <v>42738</v>
      </c>
    </row>
    <row r="526" spans="1:15" x14ac:dyDescent="0.35">
      <c r="A526" t="s">
        <v>15</v>
      </c>
      <c r="B526" t="s">
        <v>16</v>
      </c>
      <c r="C526" t="s">
        <v>61</v>
      </c>
      <c r="D526" t="s">
        <v>579</v>
      </c>
      <c r="E526" t="s">
        <v>248</v>
      </c>
      <c r="F526" t="s">
        <v>312</v>
      </c>
      <c r="G526" t="s">
        <v>580</v>
      </c>
      <c r="H526" t="s">
        <v>41</v>
      </c>
      <c r="I526" t="s">
        <v>23</v>
      </c>
      <c r="J526" s="1">
        <v>27440</v>
      </c>
      <c r="K526" t="s">
        <v>23</v>
      </c>
      <c r="L526" t="s">
        <v>1851</v>
      </c>
      <c r="M526" t="s">
        <v>200</v>
      </c>
      <c r="N526">
        <v>4</v>
      </c>
      <c r="O526">
        <v>134182.5</v>
      </c>
    </row>
    <row r="527" spans="1:15" x14ac:dyDescent="0.35">
      <c r="A527" t="s">
        <v>15</v>
      </c>
      <c r="B527" t="s">
        <v>27</v>
      </c>
      <c r="C527" t="s">
        <v>36</v>
      </c>
      <c r="D527" t="s">
        <v>1852</v>
      </c>
      <c r="E527" t="s">
        <v>1623</v>
      </c>
      <c r="F527" t="s">
        <v>39</v>
      </c>
      <c r="G527" t="s">
        <v>56</v>
      </c>
      <c r="H527" t="s">
        <v>41</v>
      </c>
      <c r="I527" t="s">
        <v>23</v>
      </c>
      <c r="J527" s="1">
        <v>3305</v>
      </c>
      <c r="K527" t="s">
        <v>23</v>
      </c>
      <c r="L527" t="s">
        <v>1853</v>
      </c>
      <c r="M527" t="s">
        <v>189</v>
      </c>
      <c r="O527">
        <v>152213.5</v>
      </c>
    </row>
    <row r="528" spans="1:15" x14ac:dyDescent="0.35">
      <c r="A528" t="s">
        <v>15</v>
      </c>
      <c r="B528" t="s">
        <v>16</v>
      </c>
      <c r="C528" t="s">
        <v>36</v>
      </c>
      <c r="D528" t="s">
        <v>346</v>
      </c>
      <c r="E528" t="s">
        <v>347</v>
      </c>
      <c r="F528" t="s">
        <v>39</v>
      </c>
      <c r="G528" t="s">
        <v>348</v>
      </c>
      <c r="H528" t="s">
        <v>57</v>
      </c>
      <c r="I528" t="s">
        <v>23</v>
      </c>
      <c r="J528" s="1">
        <v>3790</v>
      </c>
      <c r="K528" t="s">
        <v>349</v>
      </c>
      <c r="L528" t="s">
        <v>1854</v>
      </c>
      <c r="M528" t="s">
        <v>60</v>
      </c>
      <c r="O528">
        <v>200938.5</v>
      </c>
    </row>
    <row r="529" spans="1:15" x14ac:dyDescent="0.35">
      <c r="A529" t="s">
        <v>15</v>
      </c>
      <c r="B529" t="s">
        <v>16</v>
      </c>
      <c r="C529" t="s">
        <v>82</v>
      </c>
      <c r="D529" t="s">
        <v>127</v>
      </c>
      <c r="E529" t="s">
        <v>1855</v>
      </c>
      <c r="F529" t="s">
        <v>196</v>
      </c>
      <c r="G529" t="s">
        <v>129</v>
      </c>
      <c r="H529" t="s">
        <v>41</v>
      </c>
      <c r="I529" t="s">
        <v>23</v>
      </c>
      <c r="J529" s="1">
        <v>131970</v>
      </c>
      <c r="K529" t="s">
        <v>1856</v>
      </c>
      <c r="L529" t="s">
        <v>1857</v>
      </c>
      <c r="M529" t="s">
        <v>1858</v>
      </c>
      <c r="N529">
        <v>7</v>
      </c>
      <c r="O529">
        <v>52510</v>
      </c>
    </row>
    <row r="530" spans="1:15" x14ac:dyDescent="0.35">
      <c r="A530" t="s">
        <v>15</v>
      </c>
      <c r="B530" t="s">
        <v>16</v>
      </c>
      <c r="C530" t="s">
        <v>82</v>
      </c>
      <c r="D530" t="s">
        <v>1859</v>
      </c>
      <c r="E530" t="s">
        <v>1860</v>
      </c>
      <c r="F530" t="s">
        <v>89</v>
      </c>
      <c r="G530" t="s">
        <v>1861</v>
      </c>
      <c r="H530" t="s">
        <v>41</v>
      </c>
      <c r="I530" t="s">
        <v>23</v>
      </c>
      <c r="J530" s="1">
        <v>2870</v>
      </c>
      <c r="K530" t="s">
        <v>23</v>
      </c>
      <c r="L530" t="s">
        <v>1862</v>
      </c>
      <c r="M530" t="s">
        <v>1863</v>
      </c>
      <c r="O530">
        <v>146140</v>
      </c>
    </row>
    <row r="531" spans="1:15" x14ac:dyDescent="0.35">
      <c r="A531" t="s">
        <v>15</v>
      </c>
      <c r="B531" t="s">
        <v>16</v>
      </c>
      <c r="C531" t="s">
        <v>61</v>
      </c>
      <c r="D531" t="s">
        <v>1222</v>
      </c>
      <c r="E531" t="s">
        <v>618</v>
      </c>
      <c r="F531" t="s">
        <v>203</v>
      </c>
      <c r="G531" t="s">
        <v>229</v>
      </c>
      <c r="H531" t="s">
        <v>41</v>
      </c>
      <c r="I531" t="s">
        <v>58</v>
      </c>
      <c r="J531" s="1">
        <v>51230</v>
      </c>
      <c r="K531" t="s">
        <v>58</v>
      </c>
      <c r="L531" t="s">
        <v>1864</v>
      </c>
      <c r="M531" t="s">
        <v>274</v>
      </c>
      <c r="N531">
        <v>25</v>
      </c>
      <c r="O531">
        <v>104727</v>
      </c>
    </row>
    <row r="532" spans="1:15" x14ac:dyDescent="0.35">
      <c r="A532" t="s">
        <v>15</v>
      </c>
      <c r="B532" t="s">
        <v>52</v>
      </c>
      <c r="C532" t="s">
        <v>82</v>
      </c>
      <c r="D532" t="s">
        <v>1865</v>
      </c>
      <c r="E532" t="s">
        <v>84</v>
      </c>
      <c r="F532" t="s">
        <v>139</v>
      </c>
      <c r="G532" t="s">
        <v>1075</v>
      </c>
      <c r="H532" t="s">
        <v>41</v>
      </c>
      <c r="I532" t="s">
        <v>58</v>
      </c>
      <c r="J532">
        <v>330</v>
      </c>
      <c r="K532" t="s">
        <v>58</v>
      </c>
      <c r="L532" t="s">
        <v>1866</v>
      </c>
      <c r="M532" t="s">
        <v>60</v>
      </c>
      <c r="N532">
        <v>13</v>
      </c>
      <c r="O532">
        <v>87643</v>
      </c>
    </row>
    <row r="533" spans="1:15" x14ac:dyDescent="0.35">
      <c r="A533" t="s">
        <v>15</v>
      </c>
      <c r="B533" t="s">
        <v>27</v>
      </c>
      <c r="C533" t="s">
        <v>17</v>
      </c>
      <c r="D533" t="s">
        <v>1263</v>
      </c>
      <c r="E533" t="s">
        <v>507</v>
      </c>
      <c r="F533" t="s">
        <v>78</v>
      </c>
      <c r="G533" t="s">
        <v>72</v>
      </c>
      <c r="H533" t="s">
        <v>41</v>
      </c>
      <c r="I533" t="s">
        <v>58</v>
      </c>
      <c r="J533">
        <v>180</v>
      </c>
      <c r="K533" t="s">
        <v>58</v>
      </c>
      <c r="L533" t="s">
        <v>1867</v>
      </c>
      <c r="M533" t="s">
        <v>60</v>
      </c>
      <c r="N533">
        <v>9</v>
      </c>
      <c r="O533">
        <v>191800</v>
      </c>
    </row>
    <row r="534" spans="1:15" x14ac:dyDescent="0.35">
      <c r="A534" t="s">
        <v>15</v>
      </c>
      <c r="B534" t="s">
        <v>16</v>
      </c>
      <c r="C534" t="s">
        <v>82</v>
      </c>
      <c r="D534" t="s">
        <v>1868</v>
      </c>
      <c r="E534" t="s">
        <v>1869</v>
      </c>
      <c r="F534" t="s">
        <v>125</v>
      </c>
      <c r="G534" t="s">
        <v>90</v>
      </c>
      <c r="H534" t="s">
        <v>57</v>
      </c>
      <c r="I534" t="s">
        <v>58</v>
      </c>
      <c r="J534">
        <v>240</v>
      </c>
      <c r="K534" t="s">
        <v>58</v>
      </c>
      <c r="L534" t="s">
        <v>1870</v>
      </c>
      <c r="M534" t="s">
        <v>60</v>
      </c>
      <c r="N534">
        <v>14</v>
      </c>
      <c r="O534">
        <v>173535</v>
      </c>
    </row>
    <row r="535" spans="1:15" x14ac:dyDescent="0.35">
      <c r="A535" t="s">
        <v>15</v>
      </c>
      <c r="B535" t="s">
        <v>16</v>
      </c>
      <c r="C535" t="s">
        <v>17</v>
      </c>
      <c r="D535" t="s">
        <v>1871</v>
      </c>
      <c r="E535" t="s">
        <v>1872</v>
      </c>
      <c r="F535" t="s">
        <v>30</v>
      </c>
      <c r="G535" t="s">
        <v>249</v>
      </c>
      <c r="H535" t="s">
        <v>41</v>
      </c>
      <c r="I535" t="s">
        <v>58</v>
      </c>
      <c r="J535">
        <v>950</v>
      </c>
      <c r="K535" t="s">
        <v>58</v>
      </c>
      <c r="L535" t="s">
        <v>1873</v>
      </c>
      <c r="M535" t="s">
        <v>1874</v>
      </c>
      <c r="N535">
        <v>15</v>
      </c>
      <c r="O535">
        <v>2739979</v>
      </c>
    </row>
    <row r="536" spans="1:15" x14ac:dyDescent="0.35">
      <c r="A536" t="s">
        <v>15</v>
      </c>
      <c r="B536" t="s">
        <v>99</v>
      </c>
      <c r="C536" t="s">
        <v>17</v>
      </c>
      <c r="D536" t="s">
        <v>1875</v>
      </c>
      <c r="E536" t="s">
        <v>335</v>
      </c>
      <c r="F536" t="s">
        <v>341</v>
      </c>
      <c r="G536" t="s">
        <v>514</v>
      </c>
      <c r="H536" t="s">
        <v>41</v>
      </c>
      <c r="I536" t="s">
        <v>23</v>
      </c>
      <c r="J536" s="1">
        <v>195020</v>
      </c>
      <c r="K536" t="s">
        <v>1876</v>
      </c>
      <c r="L536" t="s">
        <v>1877</v>
      </c>
      <c r="M536" t="s">
        <v>1878</v>
      </c>
      <c r="N536">
        <v>2</v>
      </c>
      <c r="O536">
        <v>34805</v>
      </c>
    </row>
    <row r="537" spans="1:15" x14ac:dyDescent="0.35">
      <c r="A537" t="s">
        <v>15</v>
      </c>
      <c r="B537" t="s">
        <v>16</v>
      </c>
      <c r="C537" t="s">
        <v>82</v>
      </c>
      <c r="D537" t="s">
        <v>1879</v>
      </c>
      <c r="E537" t="s">
        <v>1880</v>
      </c>
      <c r="F537" t="s">
        <v>47</v>
      </c>
      <c r="G537" t="s">
        <v>1881</v>
      </c>
      <c r="H537" t="s">
        <v>115</v>
      </c>
      <c r="I537" t="s">
        <v>23</v>
      </c>
      <c r="J537" s="1">
        <v>4570</v>
      </c>
      <c r="K537" t="s">
        <v>23</v>
      </c>
      <c r="L537" t="s">
        <v>1882</v>
      </c>
      <c r="M537" t="s">
        <v>60</v>
      </c>
      <c r="N537">
        <v>8</v>
      </c>
      <c r="O537">
        <v>168972</v>
      </c>
    </row>
    <row r="538" spans="1:15" x14ac:dyDescent="0.35">
      <c r="A538" t="s">
        <v>15</v>
      </c>
      <c r="B538" t="s">
        <v>69</v>
      </c>
      <c r="C538" t="s">
        <v>61</v>
      </c>
      <c r="D538" t="s">
        <v>812</v>
      </c>
      <c r="E538" t="s">
        <v>1814</v>
      </c>
      <c r="F538" t="s">
        <v>341</v>
      </c>
      <c r="G538" t="s">
        <v>814</v>
      </c>
      <c r="H538" t="s">
        <v>57</v>
      </c>
      <c r="I538" t="s">
        <v>23</v>
      </c>
      <c r="J538" s="1">
        <v>60020</v>
      </c>
      <c r="K538" t="s">
        <v>1883</v>
      </c>
      <c r="L538" t="s">
        <v>1884</v>
      </c>
      <c r="M538" t="s">
        <v>1885</v>
      </c>
      <c r="N538">
        <v>2</v>
      </c>
      <c r="O538">
        <v>59680</v>
      </c>
    </row>
    <row r="539" spans="1:15" x14ac:dyDescent="0.35">
      <c r="A539" t="s">
        <v>15</v>
      </c>
      <c r="B539" t="s">
        <v>16</v>
      </c>
      <c r="C539" t="s">
        <v>82</v>
      </c>
      <c r="D539" t="s">
        <v>799</v>
      </c>
      <c r="E539" t="s">
        <v>416</v>
      </c>
      <c r="F539" t="s">
        <v>196</v>
      </c>
      <c r="G539" t="s">
        <v>801</v>
      </c>
      <c r="H539" t="s">
        <v>57</v>
      </c>
      <c r="I539" t="s">
        <v>23</v>
      </c>
      <c r="J539" s="1">
        <v>7290</v>
      </c>
      <c r="K539" t="s">
        <v>23</v>
      </c>
      <c r="L539" t="s">
        <v>1886</v>
      </c>
      <c r="M539" t="s">
        <v>1887</v>
      </c>
      <c r="N539">
        <v>7</v>
      </c>
      <c r="O539">
        <v>146395.5</v>
      </c>
    </row>
    <row r="540" spans="1:15" x14ac:dyDescent="0.35">
      <c r="A540" t="s">
        <v>15</v>
      </c>
      <c r="B540" t="s">
        <v>16</v>
      </c>
      <c r="C540" t="s">
        <v>61</v>
      </c>
      <c r="D540" t="s">
        <v>539</v>
      </c>
      <c r="E540" t="s">
        <v>540</v>
      </c>
      <c r="F540" t="s">
        <v>513</v>
      </c>
      <c r="G540" t="s">
        <v>86</v>
      </c>
      <c r="H540" t="s">
        <v>41</v>
      </c>
      <c r="I540" t="s">
        <v>23</v>
      </c>
      <c r="J540" s="1">
        <v>222490</v>
      </c>
      <c r="K540" t="s">
        <v>23</v>
      </c>
      <c r="L540" t="s">
        <v>1888</v>
      </c>
      <c r="M540" t="s">
        <v>1889</v>
      </c>
      <c r="N540">
        <v>22</v>
      </c>
      <c r="O540">
        <v>135178</v>
      </c>
    </row>
    <row r="541" spans="1:15" x14ac:dyDescent="0.35">
      <c r="A541" t="s">
        <v>15</v>
      </c>
      <c r="B541" t="s">
        <v>16</v>
      </c>
      <c r="C541" t="s">
        <v>61</v>
      </c>
      <c r="D541" t="s">
        <v>772</v>
      </c>
      <c r="E541" t="s">
        <v>228</v>
      </c>
      <c r="F541" t="s">
        <v>244</v>
      </c>
      <c r="G541" t="s">
        <v>773</v>
      </c>
      <c r="H541" t="s">
        <v>41</v>
      </c>
      <c r="I541" t="s">
        <v>23</v>
      </c>
      <c r="J541" s="1">
        <v>55030</v>
      </c>
      <c r="K541" t="s">
        <v>1890</v>
      </c>
      <c r="L541" t="s">
        <v>1891</v>
      </c>
      <c r="M541" t="s">
        <v>118</v>
      </c>
      <c r="N541">
        <v>2</v>
      </c>
      <c r="O541">
        <v>100472</v>
      </c>
    </row>
    <row r="542" spans="1:15" x14ac:dyDescent="0.35">
      <c r="A542" t="s">
        <v>15</v>
      </c>
      <c r="B542" t="s">
        <v>99</v>
      </c>
      <c r="C542" t="s">
        <v>82</v>
      </c>
      <c r="D542" t="s">
        <v>962</v>
      </c>
      <c r="E542" t="s">
        <v>1892</v>
      </c>
      <c r="F542" t="s">
        <v>125</v>
      </c>
      <c r="G542" t="s">
        <v>964</v>
      </c>
      <c r="H542" t="s">
        <v>41</v>
      </c>
      <c r="I542" t="s">
        <v>61</v>
      </c>
      <c r="J542" t="s">
        <v>58</v>
      </c>
      <c r="K542" t="s">
        <v>965</v>
      </c>
      <c r="L542" t="s">
        <v>1771</v>
      </c>
      <c r="M542" t="s">
        <v>110</v>
      </c>
      <c r="N542">
        <v>14</v>
      </c>
      <c r="O542">
        <v>25211</v>
      </c>
    </row>
    <row r="543" spans="1:15" x14ac:dyDescent="0.35">
      <c r="A543" t="s">
        <v>15</v>
      </c>
      <c r="B543" t="s">
        <v>99</v>
      </c>
      <c r="C543" t="s">
        <v>61</v>
      </c>
      <c r="D543" t="s">
        <v>1893</v>
      </c>
      <c r="E543" t="s">
        <v>646</v>
      </c>
      <c r="F543" t="s">
        <v>196</v>
      </c>
      <c r="G543" t="s">
        <v>647</v>
      </c>
      <c r="H543" t="s">
        <v>41</v>
      </c>
      <c r="I543" t="s">
        <v>58</v>
      </c>
      <c r="J543" s="1">
        <v>3682</v>
      </c>
      <c r="K543" t="s">
        <v>58</v>
      </c>
      <c r="L543" t="s">
        <v>1894</v>
      </c>
      <c r="M543" t="s">
        <v>81</v>
      </c>
      <c r="N543">
        <v>7</v>
      </c>
      <c r="O543">
        <v>83973</v>
      </c>
    </row>
    <row r="544" spans="1:15" x14ac:dyDescent="0.35">
      <c r="A544" t="s">
        <v>75</v>
      </c>
      <c r="B544" t="s">
        <v>52</v>
      </c>
      <c r="C544" t="s">
        <v>36</v>
      </c>
      <c r="D544" t="s">
        <v>927</v>
      </c>
      <c r="E544" t="s">
        <v>1895</v>
      </c>
      <c r="F544" t="s">
        <v>85</v>
      </c>
      <c r="G544" t="s">
        <v>86</v>
      </c>
      <c r="H544" t="s">
        <v>22</v>
      </c>
      <c r="I544" t="s">
        <v>23</v>
      </c>
      <c r="J544" s="1">
        <v>17030</v>
      </c>
      <c r="K544" t="s">
        <v>23</v>
      </c>
      <c r="L544" t="s">
        <v>1896</v>
      </c>
      <c r="M544" t="s">
        <v>60</v>
      </c>
      <c r="N544">
        <v>6</v>
      </c>
      <c r="O544">
        <v>165773.5</v>
      </c>
    </row>
    <row r="545" spans="1:15" x14ac:dyDescent="0.35">
      <c r="A545" t="s">
        <v>15</v>
      </c>
      <c r="B545" t="s">
        <v>16</v>
      </c>
      <c r="C545" t="s">
        <v>82</v>
      </c>
      <c r="D545" t="s">
        <v>223</v>
      </c>
      <c r="E545" t="s">
        <v>358</v>
      </c>
      <c r="F545" t="s">
        <v>431</v>
      </c>
      <c r="G545" t="s">
        <v>90</v>
      </c>
      <c r="H545" t="s">
        <v>41</v>
      </c>
      <c r="I545" t="s">
        <v>23</v>
      </c>
      <c r="J545" s="1">
        <v>5260</v>
      </c>
      <c r="K545" t="s">
        <v>1897</v>
      </c>
      <c r="L545" t="s">
        <v>1898</v>
      </c>
      <c r="M545" t="s">
        <v>60</v>
      </c>
      <c r="N545">
        <v>21</v>
      </c>
      <c r="O545">
        <v>306626</v>
      </c>
    </row>
    <row r="546" spans="1:15" x14ac:dyDescent="0.35">
      <c r="A546" t="s">
        <v>15</v>
      </c>
      <c r="B546" t="s">
        <v>16</v>
      </c>
      <c r="C546" t="s">
        <v>82</v>
      </c>
      <c r="D546" t="s">
        <v>1899</v>
      </c>
      <c r="E546" t="s">
        <v>161</v>
      </c>
      <c r="F546" t="s">
        <v>312</v>
      </c>
      <c r="G546" t="s">
        <v>150</v>
      </c>
      <c r="H546" t="s">
        <v>41</v>
      </c>
      <c r="I546" t="s">
        <v>23</v>
      </c>
      <c r="J546" s="1">
        <v>2280</v>
      </c>
      <c r="K546" t="s">
        <v>23</v>
      </c>
      <c r="L546" t="s">
        <v>1900</v>
      </c>
      <c r="M546" t="s">
        <v>110</v>
      </c>
      <c r="N546">
        <v>4</v>
      </c>
      <c r="O546">
        <v>75103</v>
      </c>
    </row>
    <row r="547" spans="1:15" x14ac:dyDescent="0.35">
      <c r="A547" t="s">
        <v>15</v>
      </c>
      <c r="B547" t="s">
        <v>16</v>
      </c>
      <c r="C547" t="s">
        <v>17</v>
      </c>
      <c r="D547" t="s">
        <v>1901</v>
      </c>
      <c r="E547" t="s">
        <v>1902</v>
      </c>
      <c r="F547" t="s">
        <v>277</v>
      </c>
      <c r="G547" t="s">
        <v>1903</v>
      </c>
      <c r="H547" t="s">
        <v>41</v>
      </c>
      <c r="I547" t="s">
        <v>58</v>
      </c>
      <c r="J547">
        <v>15</v>
      </c>
      <c r="K547" t="s">
        <v>58</v>
      </c>
      <c r="L547" t="s">
        <v>1904</v>
      </c>
      <c r="M547" t="s">
        <v>60</v>
      </c>
      <c r="N547">
        <v>12</v>
      </c>
      <c r="O547">
        <v>191805.5</v>
      </c>
    </row>
    <row r="548" spans="1:15" x14ac:dyDescent="0.35">
      <c r="A548" t="s">
        <v>15</v>
      </c>
      <c r="B548" t="s">
        <v>16</v>
      </c>
      <c r="C548" t="s">
        <v>61</v>
      </c>
      <c r="D548" t="s">
        <v>1681</v>
      </c>
      <c r="E548" t="s">
        <v>1269</v>
      </c>
      <c r="F548" t="s">
        <v>244</v>
      </c>
      <c r="G548" t="s">
        <v>1682</v>
      </c>
      <c r="H548" t="s">
        <v>41</v>
      </c>
      <c r="I548" t="s">
        <v>23</v>
      </c>
      <c r="J548" s="1">
        <v>16060</v>
      </c>
      <c r="K548" t="s">
        <v>23</v>
      </c>
      <c r="L548" t="s">
        <v>1905</v>
      </c>
      <c r="M548" t="s">
        <v>1906</v>
      </c>
      <c r="N548">
        <v>2</v>
      </c>
      <c r="O548">
        <v>108875</v>
      </c>
    </row>
    <row r="549" spans="1:15" x14ac:dyDescent="0.35">
      <c r="A549" t="s">
        <v>15</v>
      </c>
      <c r="B549" t="s">
        <v>16</v>
      </c>
      <c r="C549" t="s">
        <v>36</v>
      </c>
      <c r="D549" t="s">
        <v>1907</v>
      </c>
      <c r="E549" t="s">
        <v>128</v>
      </c>
      <c r="F549" t="s">
        <v>244</v>
      </c>
      <c r="G549" t="s">
        <v>1908</v>
      </c>
      <c r="H549" t="s">
        <v>41</v>
      </c>
      <c r="I549" t="s">
        <v>23</v>
      </c>
      <c r="J549" s="1">
        <v>125010</v>
      </c>
      <c r="K549" t="s">
        <v>23</v>
      </c>
      <c r="L549" t="s">
        <v>1909</v>
      </c>
      <c r="M549" t="s">
        <v>1910</v>
      </c>
      <c r="N549">
        <v>2</v>
      </c>
      <c r="O549">
        <v>23903</v>
      </c>
    </row>
    <row r="550" spans="1:15" x14ac:dyDescent="0.35">
      <c r="A550" t="s">
        <v>75</v>
      </c>
      <c r="B550" t="s">
        <v>52</v>
      </c>
      <c r="C550" t="s">
        <v>36</v>
      </c>
      <c r="D550" t="s">
        <v>410</v>
      </c>
      <c r="E550" t="s">
        <v>411</v>
      </c>
      <c r="F550" t="s">
        <v>847</v>
      </c>
      <c r="G550" t="s">
        <v>412</v>
      </c>
      <c r="H550" t="s">
        <v>41</v>
      </c>
      <c r="I550" t="s">
        <v>58</v>
      </c>
      <c r="J550">
        <v>900</v>
      </c>
      <c r="K550" t="s">
        <v>413</v>
      </c>
      <c r="L550" t="s">
        <v>1911</v>
      </c>
      <c r="M550" t="s">
        <v>60</v>
      </c>
      <c r="N550">
        <v>16</v>
      </c>
      <c r="O550">
        <v>157919.5</v>
      </c>
    </row>
    <row r="551" spans="1:15" x14ac:dyDescent="0.35">
      <c r="A551" t="s">
        <v>15</v>
      </c>
      <c r="B551" t="s">
        <v>16</v>
      </c>
      <c r="C551" t="s">
        <v>17</v>
      </c>
      <c r="D551" t="s">
        <v>18</v>
      </c>
      <c r="E551" t="s">
        <v>1912</v>
      </c>
      <c r="F551" t="s">
        <v>1149</v>
      </c>
      <c r="G551" t="s">
        <v>21</v>
      </c>
      <c r="H551" t="s">
        <v>22</v>
      </c>
      <c r="I551" t="s">
        <v>23</v>
      </c>
      <c r="J551" t="s">
        <v>24</v>
      </c>
      <c r="K551" t="s">
        <v>23</v>
      </c>
      <c r="L551" t="s">
        <v>1913</v>
      </c>
      <c r="M551" t="s">
        <v>26</v>
      </c>
      <c r="N551">
        <v>18</v>
      </c>
      <c r="O551">
        <v>123300</v>
      </c>
    </row>
    <row r="552" spans="1:15" x14ac:dyDescent="0.35">
      <c r="A552" t="s">
        <v>15</v>
      </c>
      <c r="B552" t="s">
        <v>27</v>
      </c>
      <c r="C552" t="s">
        <v>61</v>
      </c>
      <c r="D552" t="s">
        <v>1914</v>
      </c>
      <c r="E552" t="s">
        <v>128</v>
      </c>
      <c r="F552" t="s">
        <v>39</v>
      </c>
      <c r="G552" t="s">
        <v>946</v>
      </c>
      <c r="H552" t="s">
        <v>22</v>
      </c>
      <c r="I552" t="s">
        <v>23</v>
      </c>
      <c r="J552" s="1">
        <v>409060</v>
      </c>
      <c r="K552" t="s">
        <v>1915</v>
      </c>
      <c r="L552" t="s">
        <v>1916</v>
      </c>
      <c r="M552" t="s">
        <v>1917</v>
      </c>
      <c r="O552">
        <v>45081.5</v>
      </c>
    </row>
    <row r="553" spans="1:15" x14ac:dyDescent="0.35">
      <c r="A553" t="s">
        <v>15</v>
      </c>
      <c r="B553" t="s">
        <v>99</v>
      </c>
      <c r="C553" t="s">
        <v>17</v>
      </c>
      <c r="D553" t="s">
        <v>1918</v>
      </c>
      <c r="E553" t="s">
        <v>1919</v>
      </c>
      <c r="F553" t="s">
        <v>20</v>
      </c>
      <c r="G553" t="s">
        <v>921</v>
      </c>
      <c r="H553" t="s">
        <v>41</v>
      </c>
      <c r="I553" t="s">
        <v>23</v>
      </c>
      <c r="J553" s="1">
        <v>27060</v>
      </c>
      <c r="K553" t="s">
        <v>23</v>
      </c>
      <c r="L553" t="s">
        <v>1920</v>
      </c>
      <c r="M553" t="s">
        <v>1921</v>
      </c>
      <c r="N553">
        <v>17</v>
      </c>
      <c r="O553">
        <v>115813.5</v>
      </c>
    </row>
    <row r="554" spans="1:15" x14ac:dyDescent="0.35">
      <c r="A554" t="s">
        <v>15</v>
      </c>
      <c r="B554" t="s">
        <v>16</v>
      </c>
      <c r="C554" t="s">
        <v>17</v>
      </c>
      <c r="D554" t="s">
        <v>836</v>
      </c>
      <c r="E554" t="s">
        <v>1922</v>
      </c>
      <c r="F554" t="s">
        <v>125</v>
      </c>
      <c r="G554" t="s">
        <v>838</v>
      </c>
      <c r="H554" t="s">
        <v>41</v>
      </c>
      <c r="I554" t="s">
        <v>23</v>
      </c>
      <c r="J554" s="1">
        <v>132070</v>
      </c>
      <c r="K554" t="s">
        <v>1923</v>
      </c>
      <c r="L554" t="s">
        <v>1924</v>
      </c>
      <c r="M554" t="s">
        <v>1925</v>
      </c>
      <c r="N554">
        <v>14</v>
      </c>
      <c r="O554">
        <v>22839</v>
      </c>
    </row>
    <row r="555" spans="1:15" x14ac:dyDescent="0.35">
      <c r="A555" t="s">
        <v>15</v>
      </c>
      <c r="B555" t="s">
        <v>69</v>
      </c>
      <c r="C555" t="s">
        <v>61</v>
      </c>
      <c r="D555" t="s">
        <v>70</v>
      </c>
      <c r="E555" t="s">
        <v>71</v>
      </c>
      <c r="F555" t="s">
        <v>244</v>
      </c>
      <c r="G555" t="s">
        <v>72</v>
      </c>
      <c r="H555" t="s">
        <v>73</v>
      </c>
      <c r="I555" t="s">
        <v>61</v>
      </c>
      <c r="J555" s="1">
        <v>17441</v>
      </c>
      <c r="K555" t="s">
        <v>73</v>
      </c>
      <c r="L555" t="s">
        <v>1926</v>
      </c>
      <c r="M555" t="s">
        <v>81</v>
      </c>
      <c r="N555">
        <v>2</v>
      </c>
      <c r="O555">
        <v>144768</v>
      </c>
    </row>
    <row r="556" spans="1:15" x14ac:dyDescent="0.35">
      <c r="A556" t="s">
        <v>15</v>
      </c>
      <c r="B556" t="s">
        <v>99</v>
      </c>
      <c r="C556" t="s">
        <v>82</v>
      </c>
      <c r="D556" t="s">
        <v>962</v>
      </c>
      <c r="E556" t="s">
        <v>1927</v>
      </c>
      <c r="F556" t="s">
        <v>125</v>
      </c>
      <c r="G556" t="s">
        <v>964</v>
      </c>
      <c r="H556" t="s">
        <v>41</v>
      </c>
      <c r="I556" t="s">
        <v>61</v>
      </c>
      <c r="J556" t="s">
        <v>58</v>
      </c>
      <c r="K556" t="s">
        <v>965</v>
      </c>
      <c r="L556" t="s">
        <v>1928</v>
      </c>
      <c r="M556" t="s">
        <v>110</v>
      </c>
      <c r="N556">
        <v>14</v>
      </c>
      <c r="O556">
        <v>25216</v>
      </c>
    </row>
    <row r="557" spans="1:15" x14ac:dyDescent="0.35">
      <c r="A557" t="s">
        <v>15</v>
      </c>
      <c r="B557" t="s">
        <v>69</v>
      </c>
      <c r="C557" t="s">
        <v>61</v>
      </c>
      <c r="D557" t="s">
        <v>1929</v>
      </c>
      <c r="E557" t="s">
        <v>974</v>
      </c>
      <c r="F557" t="s">
        <v>399</v>
      </c>
      <c r="G557" t="s">
        <v>229</v>
      </c>
      <c r="H557" t="s">
        <v>57</v>
      </c>
      <c r="I557" t="s">
        <v>58</v>
      </c>
      <c r="J557" s="1">
        <v>312040</v>
      </c>
      <c r="K557" t="s">
        <v>58</v>
      </c>
      <c r="L557" t="s">
        <v>1930</v>
      </c>
      <c r="M557" t="s">
        <v>1931</v>
      </c>
      <c r="N557">
        <v>5</v>
      </c>
      <c r="O557">
        <v>28045</v>
      </c>
    </row>
    <row r="558" spans="1:15" x14ac:dyDescent="0.35">
      <c r="A558" t="s">
        <v>15</v>
      </c>
      <c r="B558" t="s">
        <v>16</v>
      </c>
      <c r="C558" t="s">
        <v>82</v>
      </c>
      <c r="D558" t="s">
        <v>1265</v>
      </c>
      <c r="E558" t="s">
        <v>1932</v>
      </c>
      <c r="F558" t="s">
        <v>237</v>
      </c>
      <c r="G558" t="s">
        <v>594</v>
      </c>
      <c r="H558" t="s">
        <v>41</v>
      </c>
      <c r="I558" t="s">
        <v>58</v>
      </c>
      <c r="J558">
        <v>900</v>
      </c>
      <c r="K558" t="s">
        <v>58</v>
      </c>
      <c r="L558" t="s">
        <v>1933</v>
      </c>
      <c r="M558" t="s">
        <v>60</v>
      </c>
      <c r="N558">
        <v>20</v>
      </c>
      <c r="O558">
        <v>39023</v>
      </c>
    </row>
    <row r="559" spans="1:15" x14ac:dyDescent="0.35">
      <c r="A559" t="s">
        <v>15</v>
      </c>
      <c r="B559" t="s">
        <v>16</v>
      </c>
      <c r="C559" t="s">
        <v>36</v>
      </c>
      <c r="D559" t="s">
        <v>762</v>
      </c>
      <c r="E559" t="s">
        <v>1838</v>
      </c>
      <c r="F559" t="s">
        <v>47</v>
      </c>
      <c r="G559" t="s">
        <v>764</v>
      </c>
      <c r="H559" t="s">
        <v>115</v>
      </c>
      <c r="I559" t="s">
        <v>23</v>
      </c>
      <c r="J559" s="1">
        <v>37950</v>
      </c>
      <c r="K559" t="s">
        <v>23</v>
      </c>
      <c r="L559" t="s">
        <v>1934</v>
      </c>
      <c r="M559" t="s">
        <v>1935</v>
      </c>
      <c r="N559">
        <v>8</v>
      </c>
      <c r="O559">
        <v>31353</v>
      </c>
    </row>
    <row r="560" spans="1:15" x14ac:dyDescent="0.35">
      <c r="A560" t="s">
        <v>15</v>
      </c>
      <c r="B560" t="s">
        <v>27</v>
      </c>
      <c r="C560" t="s">
        <v>36</v>
      </c>
      <c r="D560" t="s">
        <v>1531</v>
      </c>
      <c r="E560" t="s">
        <v>248</v>
      </c>
      <c r="F560" t="s">
        <v>55</v>
      </c>
      <c r="G560" t="s">
        <v>412</v>
      </c>
      <c r="H560" t="s">
        <v>41</v>
      </c>
      <c r="I560" t="s">
        <v>23</v>
      </c>
      <c r="J560" s="1">
        <v>17070</v>
      </c>
      <c r="K560" t="s">
        <v>1936</v>
      </c>
      <c r="L560" t="s">
        <v>1937</v>
      </c>
      <c r="M560" t="s">
        <v>206</v>
      </c>
      <c r="N560">
        <v>3</v>
      </c>
      <c r="O560">
        <v>145221</v>
      </c>
    </row>
    <row r="561" spans="1:15" x14ac:dyDescent="0.35">
      <c r="A561" t="s">
        <v>15</v>
      </c>
      <c r="B561" t="s">
        <v>27</v>
      </c>
      <c r="C561" t="s">
        <v>82</v>
      </c>
      <c r="D561" t="s">
        <v>1938</v>
      </c>
      <c r="E561" t="s">
        <v>233</v>
      </c>
      <c r="F561" t="s">
        <v>196</v>
      </c>
      <c r="G561" t="s">
        <v>610</v>
      </c>
      <c r="H561" t="s">
        <v>115</v>
      </c>
      <c r="I561" t="s">
        <v>23</v>
      </c>
      <c r="J561" s="1">
        <v>75470</v>
      </c>
      <c r="K561" t="s">
        <v>1939</v>
      </c>
      <c r="L561" t="s">
        <v>1940</v>
      </c>
      <c r="M561" t="s">
        <v>1941</v>
      </c>
      <c r="N561">
        <v>7</v>
      </c>
      <c r="O561">
        <v>149787</v>
      </c>
    </row>
    <row r="562" spans="1:15" x14ac:dyDescent="0.35">
      <c r="A562" t="s">
        <v>15</v>
      </c>
      <c r="B562" t="s">
        <v>16</v>
      </c>
      <c r="C562" t="s">
        <v>36</v>
      </c>
      <c r="D562" t="s">
        <v>1463</v>
      </c>
      <c r="E562" t="s">
        <v>165</v>
      </c>
      <c r="F562" t="s">
        <v>244</v>
      </c>
      <c r="G562" t="s">
        <v>90</v>
      </c>
      <c r="H562" t="s">
        <v>22</v>
      </c>
      <c r="I562" t="s">
        <v>23</v>
      </c>
      <c r="J562" s="1">
        <v>117010</v>
      </c>
      <c r="K562" t="s">
        <v>23</v>
      </c>
      <c r="L562" t="s">
        <v>1942</v>
      </c>
      <c r="M562" t="s">
        <v>1943</v>
      </c>
      <c r="N562">
        <v>2</v>
      </c>
      <c r="O562">
        <v>185231.5</v>
      </c>
    </row>
    <row r="563" spans="1:15" x14ac:dyDescent="0.35">
      <c r="A563" t="s">
        <v>15</v>
      </c>
      <c r="B563" t="s">
        <v>16</v>
      </c>
      <c r="C563" t="s">
        <v>36</v>
      </c>
      <c r="D563" t="s">
        <v>286</v>
      </c>
      <c r="E563" t="s">
        <v>1690</v>
      </c>
      <c r="F563" t="s">
        <v>856</v>
      </c>
      <c r="G563" t="s">
        <v>90</v>
      </c>
      <c r="H563" t="s">
        <v>57</v>
      </c>
      <c r="I563" t="s">
        <v>58</v>
      </c>
      <c r="J563">
        <v>950</v>
      </c>
      <c r="K563" t="s">
        <v>1944</v>
      </c>
      <c r="L563" t="s">
        <v>1945</v>
      </c>
      <c r="M563" t="s">
        <v>60</v>
      </c>
      <c r="N563">
        <v>23</v>
      </c>
      <c r="O563">
        <v>197284</v>
      </c>
    </row>
    <row r="564" spans="1:15" x14ac:dyDescent="0.35">
      <c r="A564" t="s">
        <v>15</v>
      </c>
      <c r="B564" t="s">
        <v>16</v>
      </c>
      <c r="C564" t="s">
        <v>36</v>
      </c>
      <c r="D564" t="s">
        <v>1736</v>
      </c>
      <c r="E564" t="s">
        <v>1946</v>
      </c>
      <c r="F564" t="s">
        <v>312</v>
      </c>
      <c r="G564" t="s">
        <v>412</v>
      </c>
      <c r="H564" t="s">
        <v>41</v>
      </c>
      <c r="I564" t="s">
        <v>23</v>
      </c>
      <c r="J564" s="1">
        <v>258760</v>
      </c>
      <c r="K564" t="s">
        <v>1947</v>
      </c>
      <c r="L564" t="s">
        <v>1948</v>
      </c>
      <c r="M564" t="s">
        <v>51</v>
      </c>
      <c r="N564">
        <v>4</v>
      </c>
      <c r="O564">
        <v>187235.5</v>
      </c>
    </row>
    <row r="565" spans="1:15" x14ac:dyDescent="0.35">
      <c r="A565" t="s">
        <v>15</v>
      </c>
      <c r="B565" t="s">
        <v>16</v>
      </c>
      <c r="C565" t="s">
        <v>36</v>
      </c>
      <c r="D565" t="s">
        <v>18</v>
      </c>
      <c r="E565" t="s">
        <v>855</v>
      </c>
      <c r="F565" t="s">
        <v>847</v>
      </c>
      <c r="G565" t="s">
        <v>21</v>
      </c>
      <c r="H565" t="s">
        <v>22</v>
      </c>
      <c r="I565" t="s">
        <v>23</v>
      </c>
      <c r="J565" t="s">
        <v>24</v>
      </c>
      <c r="K565" t="s">
        <v>23</v>
      </c>
      <c r="L565" t="s">
        <v>1949</v>
      </c>
      <c r="M565" t="s">
        <v>1950</v>
      </c>
      <c r="N565">
        <v>16</v>
      </c>
      <c r="O565">
        <v>213722</v>
      </c>
    </row>
    <row r="566" spans="1:15" x14ac:dyDescent="0.35">
      <c r="A566" t="s">
        <v>15</v>
      </c>
      <c r="B566" t="s">
        <v>16</v>
      </c>
      <c r="C566" t="s">
        <v>36</v>
      </c>
      <c r="D566" t="s">
        <v>1951</v>
      </c>
      <c r="E566" t="s">
        <v>1952</v>
      </c>
      <c r="F566" t="s">
        <v>64</v>
      </c>
      <c r="G566" t="s">
        <v>1953</v>
      </c>
      <c r="H566" t="s">
        <v>57</v>
      </c>
      <c r="I566" t="s">
        <v>23</v>
      </c>
      <c r="J566" s="1">
        <v>29400</v>
      </c>
      <c r="K566" t="s">
        <v>23</v>
      </c>
      <c r="L566" t="s">
        <v>1954</v>
      </c>
      <c r="M566" t="s">
        <v>1955</v>
      </c>
      <c r="N566">
        <v>3</v>
      </c>
      <c r="O566">
        <v>131068</v>
      </c>
    </row>
    <row r="567" spans="1:15" x14ac:dyDescent="0.35">
      <c r="A567" t="s">
        <v>15</v>
      </c>
      <c r="B567" t="s">
        <v>99</v>
      </c>
      <c r="C567" t="s">
        <v>61</v>
      </c>
      <c r="D567" t="s">
        <v>1956</v>
      </c>
      <c r="E567" t="s">
        <v>1957</v>
      </c>
      <c r="F567" t="s">
        <v>113</v>
      </c>
      <c r="G567" t="s">
        <v>1958</v>
      </c>
      <c r="H567" t="s">
        <v>41</v>
      </c>
      <c r="I567" t="s">
        <v>23</v>
      </c>
      <c r="J567" s="1">
        <v>97300</v>
      </c>
      <c r="K567" t="s">
        <v>1959</v>
      </c>
      <c r="L567" t="s">
        <v>1960</v>
      </c>
      <c r="M567" t="s">
        <v>60</v>
      </c>
      <c r="N567">
        <v>19</v>
      </c>
      <c r="O567">
        <v>51293</v>
      </c>
    </row>
    <row r="568" spans="1:15" x14ac:dyDescent="0.35">
      <c r="A568" t="s">
        <v>75</v>
      </c>
      <c r="B568" t="s">
        <v>52</v>
      </c>
      <c r="C568" t="s">
        <v>17</v>
      </c>
      <c r="D568" t="s">
        <v>927</v>
      </c>
      <c r="E568" t="s">
        <v>928</v>
      </c>
      <c r="F568" t="s">
        <v>513</v>
      </c>
      <c r="G568" t="s">
        <v>86</v>
      </c>
      <c r="H568" t="s">
        <v>22</v>
      </c>
      <c r="I568" t="s">
        <v>23</v>
      </c>
      <c r="J568" s="1">
        <v>17020</v>
      </c>
      <c r="K568" t="s">
        <v>23</v>
      </c>
      <c r="L568" t="s">
        <v>1961</v>
      </c>
      <c r="M568" t="s">
        <v>60</v>
      </c>
      <c r="N568">
        <v>22</v>
      </c>
      <c r="O568">
        <v>165771.5</v>
      </c>
    </row>
    <row r="569" spans="1:15" x14ac:dyDescent="0.35">
      <c r="A569" t="s">
        <v>15</v>
      </c>
      <c r="B569" t="s">
        <v>27</v>
      </c>
      <c r="C569" t="s">
        <v>61</v>
      </c>
      <c r="D569" t="s">
        <v>864</v>
      </c>
      <c r="E569" t="s">
        <v>688</v>
      </c>
      <c r="F569" t="s">
        <v>196</v>
      </c>
      <c r="G569" t="s">
        <v>866</v>
      </c>
      <c r="H569" t="s">
        <v>41</v>
      </c>
      <c r="I569" t="s">
        <v>58</v>
      </c>
      <c r="J569">
        <v>180</v>
      </c>
      <c r="K569" t="s">
        <v>58</v>
      </c>
      <c r="L569" t="s">
        <v>1962</v>
      </c>
      <c r="M569" t="s">
        <v>137</v>
      </c>
      <c r="N569">
        <v>7</v>
      </c>
      <c r="O569">
        <v>19780</v>
      </c>
    </row>
    <row r="570" spans="1:15" x14ac:dyDescent="0.35">
      <c r="A570" t="s">
        <v>75</v>
      </c>
      <c r="B570" t="s">
        <v>16</v>
      </c>
      <c r="C570" t="s">
        <v>61</v>
      </c>
      <c r="D570" t="s">
        <v>1802</v>
      </c>
      <c r="E570" t="s">
        <v>128</v>
      </c>
      <c r="F570" t="s">
        <v>125</v>
      </c>
      <c r="G570" t="s">
        <v>1803</v>
      </c>
      <c r="H570" t="s">
        <v>41</v>
      </c>
      <c r="I570" t="s">
        <v>23</v>
      </c>
      <c r="J570" s="1">
        <v>492235</v>
      </c>
      <c r="K570" t="s">
        <v>1963</v>
      </c>
      <c r="L570" t="s">
        <v>1964</v>
      </c>
      <c r="M570" t="s">
        <v>659</v>
      </c>
      <c r="N570">
        <v>14</v>
      </c>
      <c r="O570">
        <v>18354.5</v>
      </c>
    </row>
    <row r="571" spans="1:15" x14ac:dyDescent="0.35">
      <c r="A571" t="s">
        <v>15</v>
      </c>
      <c r="B571" t="s">
        <v>52</v>
      </c>
      <c r="C571" t="s">
        <v>17</v>
      </c>
      <c r="D571" t="s">
        <v>257</v>
      </c>
      <c r="E571" t="s">
        <v>1694</v>
      </c>
      <c r="F571" t="s">
        <v>196</v>
      </c>
      <c r="G571" t="s">
        <v>90</v>
      </c>
      <c r="H571" t="s">
        <v>41</v>
      </c>
      <c r="I571" t="s">
        <v>23</v>
      </c>
      <c r="J571" s="1">
        <v>5010</v>
      </c>
      <c r="K571" t="s">
        <v>259</v>
      </c>
      <c r="L571" t="s">
        <v>1965</v>
      </c>
      <c r="M571" t="s">
        <v>60</v>
      </c>
      <c r="N571">
        <v>7</v>
      </c>
      <c r="O571">
        <v>110970</v>
      </c>
    </row>
    <row r="572" spans="1:15" x14ac:dyDescent="0.35">
      <c r="A572" t="s">
        <v>15</v>
      </c>
      <c r="B572" t="s">
        <v>16</v>
      </c>
      <c r="C572" t="s">
        <v>61</v>
      </c>
      <c r="D572" t="s">
        <v>1531</v>
      </c>
      <c r="E572" t="s">
        <v>1966</v>
      </c>
      <c r="F572" t="s">
        <v>47</v>
      </c>
      <c r="G572" t="s">
        <v>412</v>
      </c>
      <c r="H572" t="s">
        <v>41</v>
      </c>
      <c r="I572" t="s">
        <v>23</v>
      </c>
      <c r="J572" s="1">
        <v>17020</v>
      </c>
      <c r="K572" t="s">
        <v>1967</v>
      </c>
      <c r="L572" t="s">
        <v>1968</v>
      </c>
      <c r="M572" t="s">
        <v>1969</v>
      </c>
      <c r="N572">
        <v>8</v>
      </c>
      <c r="O572">
        <v>168969</v>
      </c>
    </row>
    <row r="573" spans="1:15" x14ac:dyDescent="0.35">
      <c r="A573" t="s">
        <v>15</v>
      </c>
      <c r="B573" t="s">
        <v>16</v>
      </c>
      <c r="C573" t="s">
        <v>36</v>
      </c>
      <c r="D573" t="s">
        <v>1736</v>
      </c>
      <c r="E573" t="s">
        <v>743</v>
      </c>
      <c r="F573" t="s">
        <v>399</v>
      </c>
      <c r="G573" t="s">
        <v>412</v>
      </c>
      <c r="H573" t="s">
        <v>41</v>
      </c>
      <c r="I573" t="s">
        <v>23</v>
      </c>
      <c r="J573" s="1">
        <v>258800</v>
      </c>
      <c r="K573" t="s">
        <v>1970</v>
      </c>
      <c r="L573" t="s">
        <v>1971</v>
      </c>
      <c r="M573" t="s">
        <v>51</v>
      </c>
      <c r="N573">
        <v>5</v>
      </c>
      <c r="O573">
        <v>156636.5</v>
      </c>
    </row>
    <row r="574" spans="1:15" x14ac:dyDescent="0.35">
      <c r="A574" t="s">
        <v>15</v>
      </c>
      <c r="B574" t="s">
        <v>27</v>
      </c>
      <c r="C574" t="s">
        <v>17</v>
      </c>
      <c r="D574" t="s">
        <v>1597</v>
      </c>
      <c r="E574" t="s">
        <v>1598</v>
      </c>
      <c r="F574" t="s">
        <v>78</v>
      </c>
      <c r="G574" t="s">
        <v>412</v>
      </c>
      <c r="H574" t="s">
        <v>41</v>
      </c>
      <c r="I574" t="s">
        <v>58</v>
      </c>
      <c r="J574" s="1">
        <v>2760</v>
      </c>
      <c r="K574" t="s">
        <v>58</v>
      </c>
      <c r="L574" t="s">
        <v>1972</v>
      </c>
      <c r="M574" t="s">
        <v>60</v>
      </c>
      <c r="N574">
        <v>9</v>
      </c>
      <c r="O574">
        <v>251171</v>
      </c>
    </row>
    <row r="575" spans="1:15" x14ac:dyDescent="0.35">
      <c r="A575" t="s">
        <v>15</v>
      </c>
      <c r="B575" t="s">
        <v>16</v>
      </c>
      <c r="C575" t="s">
        <v>82</v>
      </c>
      <c r="D575" t="s">
        <v>962</v>
      </c>
      <c r="E575" t="s">
        <v>1973</v>
      </c>
      <c r="F575" t="s">
        <v>399</v>
      </c>
      <c r="G575" t="s">
        <v>964</v>
      </c>
      <c r="H575" t="s">
        <v>41</v>
      </c>
      <c r="I575" t="s">
        <v>61</v>
      </c>
      <c r="J575" t="s">
        <v>58</v>
      </c>
      <c r="K575" t="s">
        <v>965</v>
      </c>
      <c r="L575" t="s">
        <v>1974</v>
      </c>
      <c r="M575" t="s">
        <v>1975</v>
      </c>
      <c r="N575">
        <v>5</v>
      </c>
      <c r="O575">
        <v>7679</v>
      </c>
    </row>
    <row r="576" spans="1:15" x14ac:dyDescent="0.35">
      <c r="A576" t="s">
        <v>15</v>
      </c>
      <c r="B576" t="s">
        <v>16</v>
      </c>
      <c r="C576" t="s">
        <v>82</v>
      </c>
      <c r="D576" t="s">
        <v>1548</v>
      </c>
      <c r="E576" t="s">
        <v>1976</v>
      </c>
      <c r="F576" t="s">
        <v>125</v>
      </c>
      <c r="G576" t="s">
        <v>1550</v>
      </c>
      <c r="H576" t="s">
        <v>115</v>
      </c>
      <c r="I576" t="s">
        <v>23</v>
      </c>
      <c r="J576" s="1">
        <v>107690</v>
      </c>
      <c r="K576" t="s">
        <v>1977</v>
      </c>
      <c r="L576" t="s">
        <v>1978</v>
      </c>
      <c r="M576" t="s">
        <v>1979</v>
      </c>
      <c r="N576">
        <v>14</v>
      </c>
      <c r="O576">
        <v>148418.5</v>
      </c>
    </row>
    <row r="577" spans="1:15" x14ac:dyDescent="0.35">
      <c r="A577" t="s">
        <v>15</v>
      </c>
      <c r="B577" t="s">
        <v>16</v>
      </c>
      <c r="C577" t="s">
        <v>61</v>
      </c>
      <c r="D577" t="s">
        <v>1531</v>
      </c>
      <c r="E577" t="s">
        <v>743</v>
      </c>
      <c r="F577" t="s">
        <v>39</v>
      </c>
      <c r="G577" t="s">
        <v>412</v>
      </c>
      <c r="H577" t="s">
        <v>41</v>
      </c>
      <c r="I577" t="s">
        <v>23</v>
      </c>
      <c r="J577" s="1">
        <v>17020</v>
      </c>
      <c r="K577" t="s">
        <v>1980</v>
      </c>
      <c r="L577" t="s">
        <v>1981</v>
      </c>
      <c r="M577" t="s">
        <v>118</v>
      </c>
      <c r="O577">
        <v>173539</v>
      </c>
    </row>
    <row r="578" spans="1:15" x14ac:dyDescent="0.35">
      <c r="A578" t="s">
        <v>15</v>
      </c>
      <c r="B578" t="s">
        <v>27</v>
      </c>
      <c r="C578" t="s">
        <v>36</v>
      </c>
      <c r="D578" t="s">
        <v>582</v>
      </c>
      <c r="E578" t="s">
        <v>1269</v>
      </c>
      <c r="F578" t="s">
        <v>47</v>
      </c>
      <c r="G578" t="s">
        <v>584</v>
      </c>
      <c r="H578" t="s">
        <v>57</v>
      </c>
      <c r="I578" t="s">
        <v>58</v>
      </c>
      <c r="J578" s="1">
        <v>33020</v>
      </c>
      <c r="K578" t="s">
        <v>58</v>
      </c>
      <c r="L578" t="s">
        <v>1982</v>
      </c>
      <c r="M578" t="s">
        <v>1609</v>
      </c>
      <c r="N578">
        <v>8</v>
      </c>
      <c r="O578">
        <v>219084.5</v>
      </c>
    </row>
    <row r="579" spans="1:15" x14ac:dyDescent="0.35">
      <c r="A579" t="s">
        <v>15</v>
      </c>
      <c r="B579" t="s">
        <v>16</v>
      </c>
      <c r="C579" t="s">
        <v>61</v>
      </c>
      <c r="D579" t="s">
        <v>655</v>
      </c>
      <c r="E579" t="s">
        <v>1983</v>
      </c>
      <c r="F579" t="s">
        <v>244</v>
      </c>
      <c r="G579" t="s">
        <v>656</v>
      </c>
      <c r="H579" t="s">
        <v>115</v>
      </c>
      <c r="I579" t="s">
        <v>23</v>
      </c>
      <c r="J579" s="1">
        <v>300060</v>
      </c>
      <c r="K579" t="s">
        <v>1984</v>
      </c>
      <c r="L579" t="s">
        <v>1985</v>
      </c>
      <c r="M579" t="s">
        <v>1986</v>
      </c>
      <c r="N579">
        <v>2</v>
      </c>
      <c r="O579">
        <v>197560</v>
      </c>
    </row>
    <row r="580" spans="1:15" x14ac:dyDescent="0.35">
      <c r="A580" t="s">
        <v>15</v>
      </c>
      <c r="B580" t="s">
        <v>16</v>
      </c>
      <c r="C580" t="s">
        <v>61</v>
      </c>
      <c r="D580" t="s">
        <v>579</v>
      </c>
      <c r="E580" t="s">
        <v>860</v>
      </c>
      <c r="F580" t="s">
        <v>244</v>
      </c>
      <c r="G580" t="s">
        <v>580</v>
      </c>
      <c r="H580" t="s">
        <v>41</v>
      </c>
      <c r="I580" t="s">
        <v>23</v>
      </c>
      <c r="J580" s="1">
        <v>27450</v>
      </c>
      <c r="K580" t="s">
        <v>23</v>
      </c>
      <c r="L580" t="s">
        <v>1987</v>
      </c>
      <c r="M580" t="s">
        <v>1988</v>
      </c>
      <c r="N580">
        <v>2</v>
      </c>
      <c r="O580">
        <v>161688</v>
      </c>
    </row>
    <row r="581" spans="1:15" x14ac:dyDescent="0.35">
      <c r="A581" t="s">
        <v>15</v>
      </c>
      <c r="B581" t="s">
        <v>27</v>
      </c>
      <c r="C581" t="s">
        <v>61</v>
      </c>
      <c r="D581" t="s">
        <v>1989</v>
      </c>
      <c r="E581" t="s">
        <v>1990</v>
      </c>
      <c r="F581" t="s">
        <v>39</v>
      </c>
      <c r="G581" t="s">
        <v>238</v>
      </c>
      <c r="H581" t="s">
        <v>57</v>
      </c>
      <c r="I581" t="s">
        <v>23</v>
      </c>
      <c r="J581" s="1">
        <v>11060</v>
      </c>
      <c r="K581" t="s">
        <v>1991</v>
      </c>
      <c r="L581" t="s">
        <v>1992</v>
      </c>
      <c r="M581" t="s">
        <v>1993</v>
      </c>
      <c r="O581">
        <v>100474</v>
      </c>
    </row>
    <row r="582" spans="1:15" x14ac:dyDescent="0.35">
      <c r="A582" t="s">
        <v>15</v>
      </c>
      <c r="B582" t="s">
        <v>16</v>
      </c>
      <c r="C582" t="s">
        <v>17</v>
      </c>
      <c r="D582" t="s">
        <v>334</v>
      </c>
      <c r="E582" t="s">
        <v>335</v>
      </c>
      <c r="F582" t="s">
        <v>196</v>
      </c>
      <c r="G582" t="s">
        <v>336</v>
      </c>
      <c r="H582" t="s">
        <v>57</v>
      </c>
      <c r="I582" t="s">
        <v>23</v>
      </c>
      <c r="J582" s="1">
        <v>68420</v>
      </c>
      <c r="K582" t="s">
        <v>23</v>
      </c>
      <c r="L582" t="s">
        <v>1994</v>
      </c>
      <c r="M582" t="s">
        <v>338</v>
      </c>
      <c r="N582">
        <v>7</v>
      </c>
      <c r="O582">
        <v>24200</v>
      </c>
    </row>
    <row r="583" spans="1:15" x14ac:dyDescent="0.35">
      <c r="A583" t="s">
        <v>15</v>
      </c>
      <c r="B583" t="s">
        <v>16</v>
      </c>
      <c r="C583" t="s">
        <v>17</v>
      </c>
      <c r="D583" t="s">
        <v>762</v>
      </c>
      <c r="E583" t="s">
        <v>1995</v>
      </c>
      <c r="F583" t="s">
        <v>125</v>
      </c>
      <c r="G583" t="s">
        <v>764</v>
      </c>
      <c r="H583" t="s">
        <v>115</v>
      </c>
      <c r="I583" t="s">
        <v>23</v>
      </c>
      <c r="J583" s="1">
        <v>37950</v>
      </c>
      <c r="K583" t="s">
        <v>23</v>
      </c>
      <c r="L583" t="s">
        <v>1996</v>
      </c>
      <c r="M583" t="s">
        <v>1997</v>
      </c>
      <c r="N583">
        <v>14</v>
      </c>
      <c r="O583">
        <v>80785.5</v>
      </c>
    </row>
    <row r="584" spans="1:15" x14ac:dyDescent="0.35">
      <c r="A584" t="s">
        <v>15</v>
      </c>
      <c r="B584" t="s">
        <v>16</v>
      </c>
      <c r="C584" t="s">
        <v>36</v>
      </c>
      <c r="D584" t="s">
        <v>1736</v>
      </c>
      <c r="E584" t="s">
        <v>743</v>
      </c>
      <c r="F584" t="s">
        <v>39</v>
      </c>
      <c r="G584" t="s">
        <v>412</v>
      </c>
      <c r="H584" t="s">
        <v>41</v>
      </c>
      <c r="I584" t="s">
        <v>23</v>
      </c>
      <c r="J584" s="1">
        <v>258810</v>
      </c>
      <c r="K584" t="s">
        <v>1998</v>
      </c>
      <c r="L584" t="s">
        <v>1999</v>
      </c>
      <c r="M584" t="s">
        <v>51</v>
      </c>
      <c r="O584">
        <v>249802.5</v>
      </c>
    </row>
    <row r="585" spans="1:15" x14ac:dyDescent="0.35">
      <c r="A585" t="s">
        <v>15</v>
      </c>
      <c r="B585" t="s">
        <v>16</v>
      </c>
      <c r="C585" t="s">
        <v>82</v>
      </c>
      <c r="D585" t="s">
        <v>1871</v>
      </c>
      <c r="E585" t="s">
        <v>2000</v>
      </c>
      <c r="F585" t="s">
        <v>196</v>
      </c>
      <c r="G585" t="s">
        <v>249</v>
      </c>
      <c r="H585" t="s">
        <v>41</v>
      </c>
      <c r="I585" t="s">
        <v>58</v>
      </c>
      <c r="J585">
        <v>950</v>
      </c>
      <c r="K585" t="s">
        <v>58</v>
      </c>
      <c r="L585" t="s">
        <v>2001</v>
      </c>
      <c r="M585" t="s">
        <v>2002</v>
      </c>
      <c r="N585">
        <v>7</v>
      </c>
      <c r="O585">
        <v>24358</v>
      </c>
    </row>
    <row r="586" spans="1:15" x14ac:dyDescent="0.35">
      <c r="A586" t="s">
        <v>15</v>
      </c>
      <c r="B586" t="s">
        <v>16</v>
      </c>
      <c r="C586" t="s">
        <v>61</v>
      </c>
      <c r="D586" t="s">
        <v>1300</v>
      </c>
      <c r="E586" t="s">
        <v>2003</v>
      </c>
      <c r="F586" t="s">
        <v>47</v>
      </c>
      <c r="G586" t="s">
        <v>1291</v>
      </c>
      <c r="H586" t="s">
        <v>41</v>
      </c>
      <c r="I586" t="s">
        <v>58</v>
      </c>
      <c r="J586" s="1">
        <v>5010</v>
      </c>
      <c r="K586" t="s">
        <v>58</v>
      </c>
      <c r="L586" t="s">
        <v>2004</v>
      </c>
      <c r="M586" t="s">
        <v>1127</v>
      </c>
      <c r="N586">
        <v>8</v>
      </c>
      <c r="O586">
        <v>173533.5</v>
      </c>
    </row>
    <row r="587" spans="1:15" x14ac:dyDescent="0.35">
      <c r="A587" t="s">
        <v>15</v>
      </c>
      <c r="B587" t="s">
        <v>16</v>
      </c>
      <c r="C587" t="s">
        <v>61</v>
      </c>
      <c r="D587" t="s">
        <v>864</v>
      </c>
      <c r="E587" t="s">
        <v>688</v>
      </c>
      <c r="F587" t="s">
        <v>39</v>
      </c>
      <c r="G587" t="s">
        <v>866</v>
      </c>
      <c r="H587" t="s">
        <v>41</v>
      </c>
      <c r="I587" t="s">
        <v>58</v>
      </c>
      <c r="J587">
        <v>180</v>
      </c>
      <c r="K587" t="s">
        <v>58</v>
      </c>
      <c r="L587" t="s">
        <v>2005</v>
      </c>
      <c r="M587" t="s">
        <v>2006</v>
      </c>
      <c r="O587">
        <v>19777</v>
      </c>
    </row>
    <row r="588" spans="1:15" x14ac:dyDescent="0.35">
      <c r="A588" t="s">
        <v>75</v>
      </c>
      <c r="B588" t="s">
        <v>16</v>
      </c>
      <c r="C588" t="s">
        <v>36</v>
      </c>
      <c r="D588" t="s">
        <v>410</v>
      </c>
      <c r="E588" t="s">
        <v>411</v>
      </c>
      <c r="F588" t="s">
        <v>196</v>
      </c>
      <c r="G588" t="s">
        <v>412</v>
      </c>
      <c r="H588" t="s">
        <v>41</v>
      </c>
      <c r="I588" t="s">
        <v>58</v>
      </c>
      <c r="J588">
        <v>900</v>
      </c>
      <c r="K588" t="s">
        <v>2007</v>
      </c>
      <c r="L588" t="s">
        <v>2008</v>
      </c>
      <c r="M588" t="s">
        <v>60</v>
      </c>
      <c r="N588">
        <v>7</v>
      </c>
      <c r="O588">
        <v>254230</v>
      </c>
    </row>
    <row r="589" spans="1:15" x14ac:dyDescent="0.35">
      <c r="A589" t="s">
        <v>15</v>
      </c>
      <c r="B589" t="s">
        <v>16</v>
      </c>
      <c r="C589" t="s">
        <v>17</v>
      </c>
      <c r="D589" t="s">
        <v>742</v>
      </c>
      <c r="E589" t="s">
        <v>2009</v>
      </c>
      <c r="F589" t="s">
        <v>341</v>
      </c>
      <c r="G589" t="s">
        <v>744</v>
      </c>
      <c r="H589" t="s">
        <v>41</v>
      </c>
      <c r="I589" t="s">
        <v>23</v>
      </c>
      <c r="J589" s="1">
        <v>182328</v>
      </c>
      <c r="K589" t="s">
        <v>2010</v>
      </c>
      <c r="L589" t="s">
        <v>2011</v>
      </c>
      <c r="M589" t="s">
        <v>2012</v>
      </c>
      <c r="N589">
        <v>2</v>
      </c>
      <c r="O589">
        <v>136788</v>
      </c>
    </row>
    <row r="590" spans="1:15" x14ac:dyDescent="0.35">
      <c r="A590" t="s">
        <v>15</v>
      </c>
      <c r="B590" t="s">
        <v>16</v>
      </c>
      <c r="C590" t="s">
        <v>17</v>
      </c>
      <c r="D590" t="s">
        <v>1914</v>
      </c>
      <c r="E590" t="s">
        <v>2013</v>
      </c>
      <c r="F590" t="s">
        <v>196</v>
      </c>
      <c r="G590" t="s">
        <v>946</v>
      </c>
      <c r="H590" t="s">
        <v>22</v>
      </c>
      <c r="I590" t="s">
        <v>23</v>
      </c>
      <c r="J590" s="1">
        <v>409050</v>
      </c>
      <c r="K590" t="s">
        <v>2014</v>
      </c>
      <c r="L590" t="s">
        <v>2015</v>
      </c>
      <c r="M590" t="s">
        <v>1917</v>
      </c>
      <c r="N590">
        <v>7</v>
      </c>
      <c r="O590">
        <v>121476.5</v>
      </c>
    </row>
    <row r="591" spans="1:15" x14ac:dyDescent="0.35">
      <c r="A591" t="s">
        <v>15</v>
      </c>
      <c r="B591" t="s">
        <v>16</v>
      </c>
      <c r="C591" t="s">
        <v>17</v>
      </c>
      <c r="D591" t="s">
        <v>703</v>
      </c>
      <c r="E591" t="s">
        <v>2016</v>
      </c>
      <c r="F591" t="s">
        <v>196</v>
      </c>
      <c r="G591" t="s">
        <v>169</v>
      </c>
      <c r="H591" t="s">
        <v>41</v>
      </c>
      <c r="I591" t="s">
        <v>23</v>
      </c>
      <c r="J591" s="1">
        <v>261040</v>
      </c>
      <c r="K591" t="s">
        <v>2017</v>
      </c>
      <c r="L591" t="s">
        <v>2018</v>
      </c>
      <c r="M591" t="s">
        <v>2019</v>
      </c>
      <c r="N591">
        <v>7</v>
      </c>
      <c r="O591">
        <v>118049.5</v>
      </c>
    </row>
    <row r="592" spans="1:15" x14ac:dyDescent="0.35">
      <c r="A592" t="s">
        <v>15</v>
      </c>
      <c r="B592" t="s">
        <v>16</v>
      </c>
      <c r="C592" t="s">
        <v>61</v>
      </c>
      <c r="D592" t="s">
        <v>445</v>
      </c>
      <c r="E592" t="s">
        <v>128</v>
      </c>
      <c r="F592" t="s">
        <v>196</v>
      </c>
      <c r="G592" t="s">
        <v>446</v>
      </c>
      <c r="H592" t="s">
        <v>41</v>
      </c>
      <c r="I592" t="s">
        <v>23</v>
      </c>
      <c r="J592" s="1">
        <v>524568</v>
      </c>
      <c r="K592" t="s">
        <v>2020</v>
      </c>
      <c r="L592" t="s">
        <v>2021</v>
      </c>
      <c r="M592" t="s">
        <v>449</v>
      </c>
      <c r="N592">
        <v>7</v>
      </c>
      <c r="O592">
        <v>42868</v>
      </c>
    </row>
    <row r="593" spans="1:15" x14ac:dyDescent="0.35">
      <c r="A593" t="s">
        <v>75</v>
      </c>
      <c r="B593" t="s">
        <v>16</v>
      </c>
      <c r="C593" t="s">
        <v>61</v>
      </c>
      <c r="D593" t="s">
        <v>1300</v>
      </c>
      <c r="E593" t="s">
        <v>2022</v>
      </c>
      <c r="F593" t="s">
        <v>431</v>
      </c>
      <c r="G593" t="s">
        <v>1291</v>
      </c>
      <c r="H593" t="s">
        <v>41</v>
      </c>
      <c r="I593" t="s">
        <v>58</v>
      </c>
      <c r="J593" s="1">
        <v>5060</v>
      </c>
      <c r="K593" t="s">
        <v>58</v>
      </c>
      <c r="L593" t="s">
        <v>2023</v>
      </c>
      <c r="M593" t="s">
        <v>2024</v>
      </c>
      <c r="N593">
        <v>21</v>
      </c>
      <c r="O593">
        <v>94988</v>
      </c>
    </row>
    <row r="594" spans="1:15" x14ac:dyDescent="0.35">
      <c r="A594" t="s">
        <v>15</v>
      </c>
      <c r="B594" t="s">
        <v>16</v>
      </c>
      <c r="C594" t="s">
        <v>36</v>
      </c>
      <c r="D594" t="s">
        <v>920</v>
      </c>
      <c r="E594" t="s">
        <v>63</v>
      </c>
      <c r="F594" t="s">
        <v>1149</v>
      </c>
      <c r="G594" t="s">
        <v>921</v>
      </c>
      <c r="H594" t="s">
        <v>22</v>
      </c>
      <c r="I594" t="s">
        <v>23</v>
      </c>
      <c r="J594" s="1">
        <v>55100</v>
      </c>
      <c r="K594" t="s">
        <v>1724</v>
      </c>
      <c r="L594" t="s">
        <v>2025</v>
      </c>
      <c r="M594" t="s">
        <v>2026</v>
      </c>
      <c r="N594">
        <v>18</v>
      </c>
      <c r="O594">
        <v>169155.5</v>
      </c>
    </row>
    <row r="595" spans="1:15" x14ac:dyDescent="0.35">
      <c r="A595" t="s">
        <v>15</v>
      </c>
      <c r="B595" t="s">
        <v>16</v>
      </c>
      <c r="C595" t="s">
        <v>17</v>
      </c>
      <c r="D595" t="s">
        <v>1597</v>
      </c>
      <c r="E595" t="s">
        <v>2027</v>
      </c>
      <c r="F595" t="s">
        <v>78</v>
      </c>
      <c r="G595" t="s">
        <v>412</v>
      </c>
      <c r="H595" t="s">
        <v>41</v>
      </c>
      <c r="I595" t="s">
        <v>58</v>
      </c>
      <c r="J595" s="1">
        <v>2810</v>
      </c>
      <c r="K595" t="s">
        <v>58</v>
      </c>
      <c r="L595" t="s">
        <v>2028</v>
      </c>
      <c r="M595" t="s">
        <v>60</v>
      </c>
      <c r="N595">
        <v>9</v>
      </c>
      <c r="O595">
        <v>236556</v>
      </c>
    </row>
    <row r="596" spans="1:15" x14ac:dyDescent="0.35">
      <c r="A596" t="s">
        <v>15</v>
      </c>
      <c r="B596" t="s">
        <v>16</v>
      </c>
      <c r="C596" t="s">
        <v>61</v>
      </c>
      <c r="D596" t="s">
        <v>480</v>
      </c>
      <c r="E596" t="s">
        <v>2029</v>
      </c>
      <c r="F596" t="s">
        <v>196</v>
      </c>
      <c r="G596" t="s">
        <v>482</v>
      </c>
      <c r="H596" t="s">
        <v>41</v>
      </c>
      <c r="I596" t="s">
        <v>58</v>
      </c>
      <c r="J596" s="1">
        <v>3760</v>
      </c>
      <c r="K596" t="s">
        <v>58</v>
      </c>
      <c r="L596" t="s">
        <v>2030</v>
      </c>
      <c r="M596" t="s">
        <v>644</v>
      </c>
      <c r="N596">
        <v>7</v>
      </c>
      <c r="O596">
        <v>61775</v>
      </c>
    </row>
    <row r="597" spans="1:15" x14ac:dyDescent="0.35">
      <c r="A597" t="s">
        <v>15</v>
      </c>
      <c r="B597" t="s">
        <v>16</v>
      </c>
      <c r="C597" t="s">
        <v>61</v>
      </c>
      <c r="D597" t="s">
        <v>1914</v>
      </c>
      <c r="E597" t="s">
        <v>128</v>
      </c>
      <c r="F597" t="s">
        <v>39</v>
      </c>
      <c r="G597" t="s">
        <v>946</v>
      </c>
      <c r="H597" t="s">
        <v>22</v>
      </c>
      <c r="I597" t="s">
        <v>23</v>
      </c>
      <c r="J597" s="1">
        <v>409040</v>
      </c>
      <c r="K597" t="s">
        <v>2031</v>
      </c>
      <c r="L597" t="s">
        <v>2032</v>
      </c>
      <c r="M597" t="s">
        <v>2033</v>
      </c>
      <c r="O597">
        <v>45086.5</v>
      </c>
    </row>
    <row r="598" spans="1:15" x14ac:dyDescent="0.35">
      <c r="A598" t="s">
        <v>15</v>
      </c>
      <c r="B598" t="s">
        <v>16</v>
      </c>
      <c r="C598" t="s">
        <v>36</v>
      </c>
      <c r="D598" t="s">
        <v>694</v>
      </c>
      <c r="E598" t="s">
        <v>1022</v>
      </c>
      <c r="F598" t="s">
        <v>196</v>
      </c>
      <c r="G598" t="s">
        <v>580</v>
      </c>
      <c r="H598" t="s">
        <v>41</v>
      </c>
      <c r="I598" t="s">
        <v>23</v>
      </c>
      <c r="J598" s="1">
        <v>26010</v>
      </c>
      <c r="K598" t="s">
        <v>2034</v>
      </c>
      <c r="L598" t="s">
        <v>2035</v>
      </c>
      <c r="M598" t="s">
        <v>81</v>
      </c>
      <c r="N598">
        <v>7</v>
      </c>
      <c r="O598">
        <v>127870</v>
      </c>
    </row>
    <row r="599" spans="1:15" x14ac:dyDescent="0.35">
      <c r="A599" t="s">
        <v>15</v>
      </c>
      <c r="B599" t="s">
        <v>16</v>
      </c>
      <c r="C599" t="s">
        <v>17</v>
      </c>
      <c r="D599" t="s">
        <v>1918</v>
      </c>
      <c r="E599" t="s">
        <v>2036</v>
      </c>
      <c r="F599" t="s">
        <v>237</v>
      </c>
      <c r="G599" t="s">
        <v>921</v>
      </c>
      <c r="H599" t="s">
        <v>41</v>
      </c>
      <c r="I599" t="s">
        <v>23</v>
      </c>
      <c r="J599" s="1">
        <v>27010</v>
      </c>
      <c r="K599" t="s">
        <v>23</v>
      </c>
      <c r="L599" t="s">
        <v>2037</v>
      </c>
      <c r="M599" t="s">
        <v>402</v>
      </c>
      <c r="N599">
        <v>20</v>
      </c>
      <c r="O599">
        <v>147960.5</v>
      </c>
    </row>
    <row r="600" spans="1:15" x14ac:dyDescent="0.35">
      <c r="A600" t="s">
        <v>15</v>
      </c>
      <c r="B600" t="s">
        <v>16</v>
      </c>
      <c r="C600" t="s">
        <v>17</v>
      </c>
      <c r="D600" t="s">
        <v>223</v>
      </c>
      <c r="E600" t="s">
        <v>2038</v>
      </c>
      <c r="F600" t="s">
        <v>2039</v>
      </c>
      <c r="G600" t="s">
        <v>90</v>
      </c>
      <c r="H600" t="s">
        <v>41</v>
      </c>
      <c r="I600" t="s">
        <v>23</v>
      </c>
      <c r="J600" s="1">
        <v>5300</v>
      </c>
      <c r="K600" t="s">
        <v>2040</v>
      </c>
      <c r="L600" t="s">
        <v>360</v>
      </c>
      <c r="M600" t="s">
        <v>60</v>
      </c>
      <c r="N600">
        <v>19</v>
      </c>
      <c r="O600">
        <v>306623</v>
      </c>
    </row>
    <row r="601" spans="1:15" x14ac:dyDescent="0.35">
      <c r="A601" t="s">
        <v>15</v>
      </c>
      <c r="B601" t="s">
        <v>27</v>
      </c>
      <c r="C601" t="s">
        <v>36</v>
      </c>
      <c r="D601" t="s">
        <v>920</v>
      </c>
      <c r="E601" t="s">
        <v>63</v>
      </c>
      <c r="F601" t="s">
        <v>847</v>
      </c>
      <c r="G601" t="s">
        <v>921</v>
      </c>
      <c r="H601" t="s">
        <v>22</v>
      </c>
      <c r="I601" t="s">
        <v>23</v>
      </c>
      <c r="J601" s="1">
        <v>55110</v>
      </c>
      <c r="K601" t="s">
        <v>2041</v>
      </c>
      <c r="L601" t="s">
        <v>2042</v>
      </c>
      <c r="M601" t="s">
        <v>2043</v>
      </c>
      <c r="N601">
        <v>16</v>
      </c>
      <c r="O601">
        <v>281448</v>
      </c>
    </row>
    <row r="602" spans="1:15" x14ac:dyDescent="0.35">
      <c r="A602" t="s">
        <v>15</v>
      </c>
      <c r="B602" t="s">
        <v>16</v>
      </c>
      <c r="C602" t="s">
        <v>36</v>
      </c>
      <c r="D602" t="s">
        <v>920</v>
      </c>
      <c r="E602" t="s">
        <v>2044</v>
      </c>
      <c r="F602" t="s">
        <v>85</v>
      </c>
      <c r="G602" t="s">
        <v>921</v>
      </c>
      <c r="H602" t="s">
        <v>22</v>
      </c>
      <c r="I602" t="s">
        <v>23</v>
      </c>
      <c r="J602" s="1">
        <v>55130</v>
      </c>
      <c r="K602" t="s">
        <v>2041</v>
      </c>
      <c r="L602" t="s">
        <v>2045</v>
      </c>
      <c r="M602" t="s">
        <v>2046</v>
      </c>
      <c r="N602">
        <v>6</v>
      </c>
      <c r="O602">
        <v>141888</v>
      </c>
    </row>
    <row r="603" spans="1:15" x14ac:dyDescent="0.35">
      <c r="A603" t="s">
        <v>15</v>
      </c>
      <c r="B603" t="s">
        <v>16</v>
      </c>
      <c r="C603" t="s">
        <v>17</v>
      </c>
      <c r="D603" t="s">
        <v>703</v>
      </c>
      <c r="E603" t="s">
        <v>2016</v>
      </c>
      <c r="F603" t="s">
        <v>196</v>
      </c>
      <c r="G603" t="s">
        <v>169</v>
      </c>
      <c r="H603" t="s">
        <v>41</v>
      </c>
      <c r="I603" t="s">
        <v>23</v>
      </c>
      <c r="J603" s="1">
        <v>261010</v>
      </c>
      <c r="K603" t="s">
        <v>2047</v>
      </c>
      <c r="L603" t="s">
        <v>2048</v>
      </c>
      <c r="M603" t="s">
        <v>2019</v>
      </c>
      <c r="N603">
        <v>7</v>
      </c>
      <c r="O603">
        <v>118056.5</v>
      </c>
    </row>
    <row r="604" spans="1:15" x14ac:dyDescent="0.35">
      <c r="A604" t="s">
        <v>15</v>
      </c>
      <c r="B604" t="s">
        <v>16</v>
      </c>
      <c r="C604" t="s">
        <v>36</v>
      </c>
      <c r="D604" t="s">
        <v>18</v>
      </c>
      <c r="E604" t="s">
        <v>2049</v>
      </c>
      <c r="F604" t="s">
        <v>431</v>
      </c>
      <c r="G604" t="s">
        <v>21</v>
      </c>
      <c r="H604" t="s">
        <v>22</v>
      </c>
      <c r="I604" t="s">
        <v>23</v>
      </c>
      <c r="J604" t="s">
        <v>24</v>
      </c>
      <c r="K604" t="s">
        <v>23</v>
      </c>
      <c r="L604" t="s">
        <v>2050</v>
      </c>
      <c r="M604" t="s">
        <v>2051</v>
      </c>
      <c r="N604">
        <v>21</v>
      </c>
      <c r="O604">
        <v>160289.5</v>
      </c>
    </row>
    <row r="605" spans="1:15" x14ac:dyDescent="0.35">
      <c r="A605" t="s">
        <v>15</v>
      </c>
      <c r="B605" t="s">
        <v>16</v>
      </c>
      <c r="C605" t="s">
        <v>61</v>
      </c>
      <c r="D605" t="s">
        <v>703</v>
      </c>
      <c r="E605" t="s">
        <v>1663</v>
      </c>
      <c r="F605" t="s">
        <v>85</v>
      </c>
      <c r="G605" t="s">
        <v>169</v>
      </c>
      <c r="H605" t="s">
        <v>41</v>
      </c>
      <c r="I605" t="s">
        <v>23</v>
      </c>
      <c r="J605" s="1">
        <v>261040</v>
      </c>
      <c r="K605" t="s">
        <v>2052</v>
      </c>
      <c r="L605" t="s">
        <v>2053</v>
      </c>
      <c r="M605" t="s">
        <v>706</v>
      </c>
      <c r="N605">
        <v>6</v>
      </c>
      <c r="O605">
        <v>9582</v>
      </c>
    </row>
    <row r="606" spans="1:15" x14ac:dyDescent="0.35">
      <c r="A606" t="s">
        <v>15</v>
      </c>
      <c r="B606" t="s">
        <v>16</v>
      </c>
      <c r="C606" t="s">
        <v>17</v>
      </c>
      <c r="D606" t="s">
        <v>1749</v>
      </c>
      <c r="E606" t="s">
        <v>2054</v>
      </c>
      <c r="F606" t="s">
        <v>196</v>
      </c>
      <c r="G606" t="s">
        <v>1751</v>
      </c>
      <c r="H606" t="s">
        <v>57</v>
      </c>
      <c r="I606" t="s">
        <v>23</v>
      </c>
      <c r="J606" s="1">
        <v>18190</v>
      </c>
      <c r="K606" t="s">
        <v>2055</v>
      </c>
      <c r="L606" t="s">
        <v>2056</v>
      </c>
      <c r="M606" t="s">
        <v>81</v>
      </c>
      <c r="N606">
        <v>7</v>
      </c>
      <c r="O606">
        <v>125035</v>
      </c>
    </row>
    <row r="607" spans="1:15" x14ac:dyDescent="0.35">
      <c r="A607" t="s">
        <v>15</v>
      </c>
      <c r="B607" t="s">
        <v>52</v>
      </c>
      <c r="C607" t="s">
        <v>17</v>
      </c>
      <c r="D607" t="s">
        <v>257</v>
      </c>
      <c r="E607" t="s">
        <v>1694</v>
      </c>
      <c r="F607" t="s">
        <v>196</v>
      </c>
      <c r="G607" t="s">
        <v>90</v>
      </c>
      <c r="H607" t="s">
        <v>41</v>
      </c>
      <c r="I607" t="s">
        <v>23</v>
      </c>
      <c r="J607" s="1">
        <v>5040</v>
      </c>
      <c r="K607" t="s">
        <v>2057</v>
      </c>
      <c r="L607" t="s">
        <v>2058</v>
      </c>
      <c r="M607" t="s">
        <v>60</v>
      </c>
      <c r="N607">
        <v>7</v>
      </c>
      <c r="O607">
        <v>110978</v>
      </c>
    </row>
    <row r="608" spans="1:15" x14ac:dyDescent="0.35">
      <c r="A608" t="s">
        <v>15</v>
      </c>
      <c r="B608" t="s">
        <v>16</v>
      </c>
      <c r="C608" t="s">
        <v>36</v>
      </c>
      <c r="D608" t="s">
        <v>488</v>
      </c>
      <c r="E608" t="s">
        <v>1613</v>
      </c>
      <c r="F608" t="s">
        <v>125</v>
      </c>
      <c r="G608" t="s">
        <v>417</v>
      </c>
      <c r="H608" t="s">
        <v>41</v>
      </c>
      <c r="I608" t="s">
        <v>23</v>
      </c>
      <c r="J608" s="1">
        <v>97050</v>
      </c>
      <c r="K608" t="s">
        <v>490</v>
      </c>
      <c r="L608" t="s">
        <v>2059</v>
      </c>
      <c r="M608" t="s">
        <v>435</v>
      </c>
      <c r="N608">
        <v>14</v>
      </c>
      <c r="O608">
        <v>205047.5</v>
      </c>
    </row>
    <row r="609" spans="1:15" x14ac:dyDescent="0.35">
      <c r="A609" t="s">
        <v>15</v>
      </c>
      <c r="B609" t="s">
        <v>27</v>
      </c>
      <c r="C609" t="s">
        <v>36</v>
      </c>
      <c r="D609" t="s">
        <v>569</v>
      </c>
      <c r="E609" t="s">
        <v>2060</v>
      </c>
      <c r="F609" t="s">
        <v>39</v>
      </c>
      <c r="G609" t="s">
        <v>571</v>
      </c>
      <c r="H609" t="s">
        <v>115</v>
      </c>
      <c r="I609" t="s">
        <v>23</v>
      </c>
      <c r="J609" s="1">
        <v>49360</v>
      </c>
      <c r="K609" t="s">
        <v>2061</v>
      </c>
      <c r="L609" t="s">
        <v>2062</v>
      </c>
      <c r="M609" t="s">
        <v>60</v>
      </c>
      <c r="O609">
        <v>137007</v>
      </c>
    </row>
    <row r="610" spans="1:15" x14ac:dyDescent="0.35">
      <c r="A610" t="s">
        <v>15</v>
      </c>
      <c r="B610" t="s">
        <v>99</v>
      </c>
      <c r="C610" t="s">
        <v>82</v>
      </c>
      <c r="D610" t="s">
        <v>962</v>
      </c>
      <c r="E610" t="s">
        <v>2063</v>
      </c>
      <c r="F610" t="s">
        <v>125</v>
      </c>
      <c r="G610" t="s">
        <v>964</v>
      </c>
      <c r="H610" t="s">
        <v>41</v>
      </c>
      <c r="I610" t="s">
        <v>61</v>
      </c>
      <c r="J610" t="s">
        <v>58</v>
      </c>
      <c r="K610" t="s">
        <v>965</v>
      </c>
      <c r="L610" t="s">
        <v>1002</v>
      </c>
      <c r="M610" t="s">
        <v>110</v>
      </c>
      <c r="N610">
        <v>14</v>
      </c>
      <c r="O610">
        <v>25214</v>
      </c>
    </row>
    <row r="611" spans="1:15" x14ac:dyDescent="0.35">
      <c r="A611" t="s">
        <v>15</v>
      </c>
      <c r="B611" t="s">
        <v>16</v>
      </c>
      <c r="C611" t="s">
        <v>36</v>
      </c>
      <c r="D611" t="s">
        <v>1073</v>
      </c>
      <c r="E611" t="s">
        <v>2064</v>
      </c>
      <c r="F611" t="s">
        <v>64</v>
      </c>
      <c r="G611" t="s">
        <v>1075</v>
      </c>
      <c r="H611" t="s">
        <v>41</v>
      </c>
      <c r="I611" t="s">
        <v>23</v>
      </c>
      <c r="J611" s="1">
        <v>83560</v>
      </c>
      <c r="K611" t="s">
        <v>23</v>
      </c>
      <c r="L611" t="s">
        <v>2065</v>
      </c>
      <c r="M611" t="s">
        <v>2066</v>
      </c>
      <c r="N611">
        <v>3</v>
      </c>
      <c r="O611">
        <v>163125</v>
      </c>
    </row>
    <row r="612" spans="1:15" x14ac:dyDescent="0.35">
      <c r="A612" t="s">
        <v>15</v>
      </c>
      <c r="B612" t="s">
        <v>16</v>
      </c>
      <c r="C612" t="s">
        <v>61</v>
      </c>
      <c r="D612" t="s">
        <v>1531</v>
      </c>
      <c r="E612" t="s">
        <v>165</v>
      </c>
      <c r="F612" t="s">
        <v>431</v>
      </c>
      <c r="G612" t="s">
        <v>412</v>
      </c>
      <c r="H612" t="s">
        <v>41</v>
      </c>
      <c r="I612" t="s">
        <v>23</v>
      </c>
      <c r="J612" s="1">
        <v>17070</v>
      </c>
      <c r="K612" t="s">
        <v>2067</v>
      </c>
      <c r="L612" t="s">
        <v>2068</v>
      </c>
      <c r="M612" t="s">
        <v>206</v>
      </c>
      <c r="N612">
        <v>21</v>
      </c>
      <c r="O612">
        <v>168968</v>
      </c>
    </row>
    <row r="613" spans="1:15" x14ac:dyDescent="0.35">
      <c r="A613" t="s">
        <v>15</v>
      </c>
      <c r="B613" t="s">
        <v>16</v>
      </c>
      <c r="C613" t="s">
        <v>61</v>
      </c>
      <c r="D613" t="s">
        <v>445</v>
      </c>
      <c r="E613" t="s">
        <v>688</v>
      </c>
      <c r="F613" t="s">
        <v>125</v>
      </c>
      <c r="G613" t="s">
        <v>446</v>
      </c>
      <c r="H613" t="s">
        <v>41</v>
      </c>
      <c r="I613" t="s">
        <v>23</v>
      </c>
      <c r="J613" s="1">
        <v>524608</v>
      </c>
      <c r="K613" t="s">
        <v>2069</v>
      </c>
      <c r="L613" t="s">
        <v>2070</v>
      </c>
      <c r="M613" t="s">
        <v>1742</v>
      </c>
      <c r="N613">
        <v>14</v>
      </c>
      <c r="O613">
        <v>39989.5</v>
      </c>
    </row>
    <row r="614" spans="1:15" x14ac:dyDescent="0.35">
      <c r="A614" t="s">
        <v>15</v>
      </c>
      <c r="B614" t="s">
        <v>16</v>
      </c>
      <c r="C614" t="s">
        <v>17</v>
      </c>
      <c r="D614" t="s">
        <v>480</v>
      </c>
      <c r="E614" t="s">
        <v>481</v>
      </c>
      <c r="F614" t="s">
        <v>39</v>
      </c>
      <c r="G614" t="s">
        <v>482</v>
      </c>
      <c r="H614" t="s">
        <v>41</v>
      </c>
      <c r="I614" t="s">
        <v>58</v>
      </c>
      <c r="J614" s="1">
        <v>3760</v>
      </c>
      <c r="K614" t="s">
        <v>58</v>
      </c>
      <c r="L614" t="s">
        <v>2071</v>
      </c>
      <c r="M614" t="s">
        <v>2072</v>
      </c>
      <c r="O614">
        <v>61778</v>
      </c>
    </row>
    <row r="615" spans="1:15" x14ac:dyDescent="0.35">
      <c r="A615" t="s">
        <v>15</v>
      </c>
      <c r="B615" t="s">
        <v>16</v>
      </c>
      <c r="C615" t="s">
        <v>61</v>
      </c>
      <c r="D615" t="s">
        <v>1531</v>
      </c>
      <c r="E615" t="s">
        <v>743</v>
      </c>
      <c r="F615" t="s">
        <v>196</v>
      </c>
      <c r="G615" t="s">
        <v>412</v>
      </c>
      <c r="H615" t="s">
        <v>41</v>
      </c>
      <c r="I615" t="s">
        <v>23</v>
      </c>
      <c r="J615" s="1">
        <v>17050</v>
      </c>
      <c r="K615" t="s">
        <v>2073</v>
      </c>
      <c r="L615" t="s">
        <v>2074</v>
      </c>
      <c r="M615" t="s">
        <v>241</v>
      </c>
      <c r="N615">
        <v>7</v>
      </c>
      <c r="O615">
        <v>168967</v>
      </c>
    </row>
    <row r="616" spans="1:15" x14ac:dyDescent="0.35">
      <c r="A616" t="s">
        <v>75</v>
      </c>
      <c r="B616" t="s">
        <v>16</v>
      </c>
      <c r="C616" t="s">
        <v>36</v>
      </c>
      <c r="D616" t="s">
        <v>375</v>
      </c>
      <c r="E616" t="s">
        <v>376</v>
      </c>
      <c r="F616" t="s">
        <v>39</v>
      </c>
      <c r="G616" t="s">
        <v>377</v>
      </c>
      <c r="H616" t="s">
        <v>41</v>
      </c>
      <c r="I616" t="s">
        <v>58</v>
      </c>
      <c r="J616">
        <v>530</v>
      </c>
      <c r="K616" t="s">
        <v>58</v>
      </c>
      <c r="L616" t="s">
        <v>2075</v>
      </c>
      <c r="M616" t="s">
        <v>60</v>
      </c>
      <c r="O616">
        <v>36345</v>
      </c>
    </row>
    <row r="617" spans="1:15" x14ac:dyDescent="0.35">
      <c r="A617" t="s">
        <v>15</v>
      </c>
      <c r="B617" t="s">
        <v>16</v>
      </c>
      <c r="C617" t="s">
        <v>61</v>
      </c>
      <c r="D617" t="s">
        <v>1672</v>
      </c>
      <c r="E617" t="s">
        <v>1673</v>
      </c>
      <c r="F617" t="s">
        <v>125</v>
      </c>
      <c r="G617" t="s">
        <v>498</v>
      </c>
      <c r="H617" t="s">
        <v>156</v>
      </c>
      <c r="I617" t="s">
        <v>23</v>
      </c>
      <c r="J617" s="1">
        <v>6190</v>
      </c>
      <c r="K617" t="s">
        <v>23</v>
      </c>
      <c r="L617" t="s">
        <v>2076</v>
      </c>
      <c r="M617" t="s">
        <v>659</v>
      </c>
      <c r="N617">
        <v>14</v>
      </c>
      <c r="O617">
        <v>147050.5</v>
      </c>
    </row>
    <row r="618" spans="1:15" x14ac:dyDescent="0.35">
      <c r="A618" t="s">
        <v>15</v>
      </c>
      <c r="B618" t="s">
        <v>99</v>
      </c>
      <c r="C618" t="s">
        <v>61</v>
      </c>
      <c r="D618" t="s">
        <v>601</v>
      </c>
      <c r="E618" t="s">
        <v>2077</v>
      </c>
      <c r="F618" t="s">
        <v>196</v>
      </c>
      <c r="G618" t="s">
        <v>65</v>
      </c>
      <c r="H618" t="s">
        <v>57</v>
      </c>
      <c r="I618" t="s">
        <v>23</v>
      </c>
      <c r="J618" s="1">
        <v>290800</v>
      </c>
      <c r="K618" t="s">
        <v>2078</v>
      </c>
      <c r="L618" t="s">
        <v>2079</v>
      </c>
      <c r="M618" t="s">
        <v>2080</v>
      </c>
      <c r="N618">
        <v>7</v>
      </c>
      <c r="O618">
        <v>33751</v>
      </c>
    </row>
    <row r="619" spans="1:15" x14ac:dyDescent="0.35">
      <c r="A619" t="s">
        <v>15</v>
      </c>
      <c r="B619" t="s">
        <v>99</v>
      </c>
      <c r="C619" t="s">
        <v>61</v>
      </c>
      <c r="D619" t="s">
        <v>2081</v>
      </c>
      <c r="E619" t="s">
        <v>191</v>
      </c>
      <c r="F619" t="s">
        <v>39</v>
      </c>
      <c r="G619" t="s">
        <v>537</v>
      </c>
      <c r="H619" t="s">
        <v>41</v>
      </c>
      <c r="I619" t="s">
        <v>58</v>
      </c>
      <c r="J619">
        <v>900</v>
      </c>
      <c r="K619" t="s">
        <v>58</v>
      </c>
      <c r="L619" t="s">
        <v>2082</v>
      </c>
      <c r="M619" t="s">
        <v>200</v>
      </c>
      <c r="O619">
        <v>49109</v>
      </c>
    </row>
    <row r="620" spans="1:15" x14ac:dyDescent="0.35">
      <c r="A620" t="s">
        <v>15</v>
      </c>
      <c r="B620" t="s">
        <v>16</v>
      </c>
      <c r="C620" t="s">
        <v>82</v>
      </c>
      <c r="D620" t="s">
        <v>1600</v>
      </c>
      <c r="E620" t="s">
        <v>2083</v>
      </c>
      <c r="F620" t="s">
        <v>244</v>
      </c>
      <c r="G620" t="s">
        <v>1236</v>
      </c>
      <c r="H620" t="s">
        <v>41</v>
      </c>
      <c r="I620" t="s">
        <v>58</v>
      </c>
      <c r="J620" s="1">
        <v>263610</v>
      </c>
      <c r="K620" t="s">
        <v>2084</v>
      </c>
      <c r="L620" t="s">
        <v>2085</v>
      </c>
      <c r="M620" t="s">
        <v>2086</v>
      </c>
      <c r="N620">
        <v>2</v>
      </c>
      <c r="O620">
        <v>7055</v>
      </c>
    </row>
    <row r="621" spans="1:15" x14ac:dyDescent="0.35">
      <c r="A621" t="s">
        <v>15</v>
      </c>
      <c r="B621" t="s">
        <v>27</v>
      </c>
      <c r="C621" t="s">
        <v>36</v>
      </c>
      <c r="D621" t="s">
        <v>601</v>
      </c>
      <c r="E621" t="s">
        <v>602</v>
      </c>
      <c r="F621" t="s">
        <v>399</v>
      </c>
      <c r="G621" t="s">
        <v>65</v>
      </c>
      <c r="H621" t="s">
        <v>57</v>
      </c>
      <c r="I621" t="s">
        <v>23</v>
      </c>
      <c r="J621" s="1">
        <v>290750</v>
      </c>
      <c r="K621" t="s">
        <v>2078</v>
      </c>
      <c r="L621" t="s">
        <v>585</v>
      </c>
      <c r="M621" t="s">
        <v>2087</v>
      </c>
      <c r="N621">
        <v>5</v>
      </c>
      <c r="O621">
        <v>137008</v>
      </c>
    </row>
    <row r="622" spans="1:15" x14ac:dyDescent="0.35">
      <c r="A622" t="s">
        <v>15</v>
      </c>
      <c r="B622" t="s">
        <v>69</v>
      </c>
      <c r="C622" t="s">
        <v>36</v>
      </c>
      <c r="D622" t="s">
        <v>1951</v>
      </c>
      <c r="E622" t="s">
        <v>2088</v>
      </c>
      <c r="F622" t="s">
        <v>39</v>
      </c>
      <c r="G622" t="s">
        <v>1953</v>
      </c>
      <c r="H622" t="s">
        <v>57</v>
      </c>
      <c r="I622" t="s">
        <v>23</v>
      </c>
      <c r="J622" s="1">
        <v>29410</v>
      </c>
      <c r="K622" t="s">
        <v>23</v>
      </c>
      <c r="L622" t="s">
        <v>2089</v>
      </c>
      <c r="M622" t="s">
        <v>2090</v>
      </c>
      <c r="O622">
        <v>107319.5</v>
      </c>
    </row>
    <row r="623" spans="1:15" x14ac:dyDescent="0.35">
      <c r="A623" t="s">
        <v>15</v>
      </c>
      <c r="B623" t="s">
        <v>16</v>
      </c>
      <c r="C623" t="s">
        <v>36</v>
      </c>
      <c r="D623" t="s">
        <v>1531</v>
      </c>
      <c r="E623" t="s">
        <v>743</v>
      </c>
      <c r="F623" t="s">
        <v>312</v>
      </c>
      <c r="G623" t="s">
        <v>412</v>
      </c>
      <c r="H623" t="s">
        <v>41</v>
      </c>
      <c r="I623" t="s">
        <v>23</v>
      </c>
      <c r="J623" s="1">
        <v>17020</v>
      </c>
      <c r="K623" t="s">
        <v>1532</v>
      </c>
      <c r="L623" t="s">
        <v>2091</v>
      </c>
      <c r="M623" t="s">
        <v>118</v>
      </c>
      <c r="N623">
        <v>4</v>
      </c>
      <c r="O623">
        <v>166915</v>
      </c>
    </row>
    <row r="624" spans="1:15" x14ac:dyDescent="0.35">
      <c r="A624" t="s">
        <v>15</v>
      </c>
      <c r="B624" t="s">
        <v>27</v>
      </c>
      <c r="C624" t="s">
        <v>36</v>
      </c>
      <c r="D624" t="s">
        <v>664</v>
      </c>
      <c r="E624" t="s">
        <v>165</v>
      </c>
      <c r="F624" t="s">
        <v>125</v>
      </c>
      <c r="G624" t="s">
        <v>79</v>
      </c>
      <c r="H624" t="s">
        <v>41</v>
      </c>
      <c r="I624" t="s">
        <v>23</v>
      </c>
      <c r="J624" s="1">
        <v>94560</v>
      </c>
      <c r="K624" t="s">
        <v>2092</v>
      </c>
      <c r="L624" t="s">
        <v>2093</v>
      </c>
      <c r="M624" t="s">
        <v>81</v>
      </c>
      <c r="N624">
        <v>14</v>
      </c>
      <c r="O624">
        <v>258934.5</v>
      </c>
    </row>
    <row r="625" spans="1:15" x14ac:dyDescent="0.35">
      <c r="A625" t="s">
        <v>15</v>
      </c>
      <c r="B625" t="s">
        <v>16</v>
      </c>
      <c r="C625" t="s">
        <v>17</v>
      </c>
      <c r="D625" t="s">
        <v>392</v>
      </c>
      <c r="E625" t="s">
        <v>614</v>
      </c>
      <c r="F625" t="s">
        <v>277</v>
      </c>
      <c r="G625" t="s">
        <v>90</v>
      </c>
      <c r="H625" t="s">
        <v>57</v>
      </c>
      <c r="I625" t="s">
        <v>58</v>
      </c>
      <c r="J625">
        <v>780</v>
      </c>
      <c r="K625" t="s">
        <v>2094</v>
      </c>
      <c r="L625" t="s">
        <v>2095</v>
      </c>
      <c r="M625" t="s">
        <v>60</v>
      </c>
      <c r="N625">
        <v>12</v>
      </c>
      <c r="O625">
        <v>242952.5</v>
      </c>
    </row>
    <row r="626" spans="1:15" x14ac:dyDescent="0.35">
      <c r="A626" t="s">
        <v>15</v>
      </c>
      <c r="B626" t="s">
        <v>16</v>
      </c>
      <c r="C626" t="s">
        <v>61</v>
      </c>
      <c r="D626" t="s">
        <v>550</v>
      </c>
      <c r="E626" t="s">
        <v>1148</v>
      </c>
      <c r="F626" t="s">
        <v>85</v>
      </c>
      <c r="G626" t="s">
        <v>65</v>
      </c>
      <c r="H626" t="s">
        <v>41</v>
      </c>
      <c r="I626" t="s">
        <v>23</v>
      </c>
      <c r="J626" s="1">
        <v>10040</v>
      </c>
      <c r="K626" t="s">
        <v>23</v>
      </c>
      <c r="L626" t="s">
        <v>2096</v>
      </c>
      <c r="M626" t="s">
        <v>553</v>
      </c>
      <c r="N626">
        <v>6</v>
      </c>
      <c r="O626">
        <v>99557</v>
      </c>
    </row>
    <row r="627" spans="1:15" x14ac:dyDescent="0.35">
      <c r="A627" t="s">
        <v>15</v>
      </c>
      <c r="B627" t="s">
        <v>16</v>
      </c>
      <c r="C627" t="s">
        <v>61</v>
      </c>
      <c r="D627" t="s">
        <v>747</v>
      </c>
      <c r="E627" t="s">
        <v>128</v>
      </c>
      <c r="F627" t="s">
        <v>431</v>
      </c>
      <c r="G627" t="s">
        <v>65</v>
      </c>
      <c r="H627" t="s">
        <v>41</v>
      </c>
      <c r="I627" t="s">
        <v>58</v>
      </c>
      <c r="J627" s="1">
        <v>3550</v>
      </c>
      <c r="K627" t="s">
        <v>58</v>
      </c>
      <c r="L627" t="s">
        <v>748</v>
      </c>
      <c r="M627" t="s">
        <v>2097</v>
      </c>
      <c r="N627">
        <v>21</v>
      </c>
      <c r="O627">
        <v>19234</v>
      </c>
    </row>
    <row r="628" spans="1:15" x14ac:dyDescent="0.35">
      <c r="A628" t="s">
        <v>15</v>
      </c>
      <c r="B628" t="s">
        <v>27</v>
      </c>
      <c r="C628" t="s">
        <v>36</v>
      </c>
      <c r="D628" t="s">
        <v>920</v>
      </c>
      <c r="E628" t="s">
        <v>860</v>
      </c>
      <c r="F628" t="s">
        <v>1149</v>
      </c>
      <c r="G628" t="s">
        <v>921</v>
      </c>
      <c r="H628" t="s">
        <v>22</v>
      </c>
      <c r="I628" t="s">
        <v>23</v>
      </c>
      <c r="J628" s="1">
        <v>55100</v>
      </c>
      <c r="K628" t="s">
        <v>922</v>
      </c>
      <c r="L628" t="s">
        <v>2098</v>
      </c>
      <c r="M628" t="s">
        <v>2043</v>
      </c>
      <c r="N628">
        <v>18</v>
      </c>
      <c r="O628">
        <v>281450</v>
      </c>
    </row>
    <row r="629" spans="1:15" x14ac:dyDescent="0.35">
      <c r="A629" t="s">
        <v>15</v>
      </c>
      <c r="B629" t="s">
        <v>16</v>
      </c>
      <c r="C629" t="s">
        <v>36</v>
      </c>
      <c r="D629" t="s">
        <v>1632</v>
      </c>
      <c r="E629" t="s">
        <v>2099</v>
      </c>
      <c r="F629" t="s">
        <v>196</v>
      </c>
      <c r="G629" t="s">
        <v>48</v>
      </c>
      <c r="H629" t="s">
        <v>41</v>
      </c>
      <c r="I629" t="s">
        <v>23</v>
      </c>
      <c r="J629" s="1">
        <v>21260</v>
      </c>
      <c r="K629" t="s">
        <v>2100</v>
      </c>
      <c r="L629" t="s">
        <v>2101</v>
      </c>
      <c r="M629" t="s">
        <v>659</v>
      </c>
      <c r="N629">
        <v>7</v>
      </c>
      <c r="O629">
        <v>165680.5</v>
      </c>
    </row>
    <row r="630" spans="1:15" x14ac:dyDescent="0.35">
      <c r="A630" t="s">
        <v>15</v>
      </c>
      <c r="B630" t="s">
        <v>16</v>
      </c>
      <c r="C630" t="s">
        <v>17</v>
      </c>
      <c r="D630" t="s">
        <v>392</v>
      </c>
      <c r="E630" t="s">
        <v>614</v>
      </c>
      <c r="F630" t="s">
        <v>277</v>
      </c>
      <c r="G630" t="s">
        <v>90</v>
      </c>
      <c r="H630" t="s">
        <v>57</v>
      </c>
      <c r="I630" t="s">
        <v>58</v>
      </c>
      <c r="J630">
        <v>780</v>
      </c>
      <c r="K630" t="s">
        <v>2102</v>
      </c>
      <c r="L630" t="s">
        <v>2103</v>
      </c>
      <c r="M630" t="s">
        <v>60</v>
      </c>
      <c r="N630">
        <v>12</v>
      </c>
      <c r="O630">
        <v>242949.5</v>
      </c>
    </row>
    <row r="631" spans="1:15" x14ac:dyDescent="0.35">
      <c r="A631" t="s">
        <v>15</v>
      </c>
      <c r="B631" t="s">
        <v>27</v>
      </c>
      <c r="C631" t="s">
        <v>36</v>
      </c>
      <c r="D631" t="s">
        <v>920</v>
      </c>
      <c r="E631" t="s">
        <v>860</v>
      </c>
      <c r="F631" t="s">
        <v>431</v>
      </c>
      <c r="G631" t="s">
        <v>921</v>
      </c>
      <c r="H631" t="s">
        <v>22</v>
      </c>
      <c r="I631" t="s">
        <v>23</v>
      </c>
      <c r="J631" s="1">
        <v>55100</v>
      </c>
      <c r="K631" t="s">
        <v>2104</v>
      </c>
      <c r="L631" t="s">
        <v>2105</v>
      </c>
      <c r="M631" t="s">
        <v>2043</v>
      </c>
      <c r="N631">
        <v>21</v>
      </c>
      <c r="O631">
        <v>281447</v>
      </c>
    </row>
    <row r="632" spans="1:15" x14ac:dyDescent="0.35">
      <c r="A632" t="s">
        <v>75</v>
      </c>
      <c r="B632" t="s">
        <v>16</v>
      </c>
      <c r="C632" t="s">
        <v>36</v>
      </c>
      <c r="D632" t="s">
        <v>795</v>
      </c>
      <c r="E632" t="s">
        <v>2106</v>
      </c>
      <c r="F632" t="s">
        <v>312</v>
      </c>
      <c r="G632" t="s">
        <v>797</v>
      </c>
      <c r="H632" t="s">
        <v>41</v>
      </c>
      <c r="I632" t="s">
        <v>58</v>
      </c>
      <c r="J632" s="1">
        <v>14060</v>
      </c>
      <c r="K632" t="s">
        <v>58</v>
      </c>
      <c r="L632" t="s">
        <v>2107</v>
      </c>
      <c r="M632" t="s">
        <v>2108</v>
      </c>
      <c r="N632">
        <v>4</v>
      </c>
      <c r="O632">
        <v>177193</v>
      </c>
    </row>
    <row r="633" spans="1:15" x14ac:dyDescent="0.35">
      <c r="A633" t="s">
        <v>15</v>
      </c>
      <c r="B633" t="s">
        <v>16</v>
      </c>
      <c r="C633" t="s">
        <v>17</v>
      </c>
      <c r="D633" t="s">
        <v>257</v>
      </c>
      <c r="E633" t="s">
        <v>614</v>
      </c>
      <c r="F633" t="s">
        <v>196</v>
      </c>
      <c r="G633" t="s">
        <v>90</v>
      </c>
      <c r="H633" t="s">
        <v>41</v>
      </c>
      <c r="I633" t="s">
        <v>23</v>
      </c>
      <c r="J633" s="1">
        <v>5020</v>
      </c>
      <c r="K633" t="s">
        <v>2057</v>
      </c>
      <c r="L633" t="s">
        <v>2109</v>
      </c>
      <c r="M633" t="s">
        <v>60</v>
      </c>
      <c r="N633">
        <v>7</v>
      </c>
      <c r="O633">
        <v>152070.5</v>
      </c>
    </row>
    <row r="634" spans="1:15" x14ac:dyDescent="0.35">
      <c r="A634" t="s">
        <v>15</v>
      </c>
      <c r="B634" t="s">
        <v>16</v>
      </c>
      <c r="C634" t="s">
        <v>82</v>
      </c>
      <c r="D634" t="s">
        <v>962</v>
      </c>
      <c r="E634" t="s">
        <v>2110</v>
      </c>
      <c r="F634" t="s">
        <v>399</v>
      </c>
      <c r="G634" t="s">
        <v>964</v>
      </c>
      <c r="H634" t="s">
        <v>41</v>
      </c>
      <c r="I634" t="s">
        <v>61</v>
      </c>
      <c r="J634" t="s">
        <v>58</v>
      </c>
      <c r="K634" t="s">
        <v>965</v>
      </c>
      <c r="L634" t="s">
        <v>2111</v>
      </c>
      <c r="M634" t="s">
        <v>1975</v>
      </c>
      <c r="N634">
        <v>5</v>
      </c>
      <c r="O634">
        <v>7680</v>
      </c>
    </row>
    <row r="635" spans="1:15" x14ac:dyDescent="0.35">
      <c r="A635" t="s">
        <v>15</v>
      </c>
      <c r="B635" t="s">
        <v>99</v>
      </c>
      <c r="C635" t="s">
        <v>82</v>
      </c>
      <c r="D635" t="s">
        <v>772</v>
      </c>
      <c r="E635" t="s">
        <v>2112</v>
      </c>
      <c r="F635" t="s">
        <v>394</v>
      </c>
      <c r="G635" t="s">
        <v>773</v>
      </c>
      <c r="H635" t="s">
        <v>41</v>
      </c>
      <c r="I635" t="s">
        <v>23</v>
      </c>
      <c r="J635" s="1">
        <v>55040</v>
      </c>
      <c r="K635" t="s">
        <v>2113</v>
      </c>
      <c r="L635" t="s">
        <v>2114</v>
      </c>
      <c r="M635" t="s">
        <v>81</v>
      </c>
      <c r="N635">
        <v>11</v>
      </c>
      <c r="O635">
        <v>118739</v>
      </c>
    </row>
    <row r="636" spans="1:15" x14ac:dyDescent="0.35">
      <c r="A636" t="s">
        <v>15</v>
      </c>
      <c r="B636" t="s">
        <v>99</v>
      </c>
      <c r="C636" t="s">
        <v>36</v>
      </c>
      <c r="D636" t="s">
        <v>664</v>
      </c>
      <c r="E636" t="s">
        <v>165</v>
      </c>
      <c r="F636" t="s">
        <v>39</v>
      </c>
      <c r="G636" t="s">
        <v>79</v>
      </c>
      <c r="H636" t="s">
        <v>41</v>
      </c>
      <c r="I636" t="s">
        <v>23</v>
      </c>
      <c r="J636" s="1">
        <v>94540</v>
      </c>
      <c r="K636" t="s">
        <v>666</v>
      </c>
      <c r="L636" t="s">
        <v>2115</v>
      </c>
      <c r="M636" t="s">
        <v>118</v>
      </c>
      <c r="O636">
        <v>159382</v>
      </c>
    </row>
    <row r="637" spans="1:15" x14ac:dyDescent="0.35">
      <c r="A637" t="s">
        <v>15</v>
      </c>
      <c r="B637" t="s">
        <v>16</v>
      </c>
      <c r="C637" t="s">
        <v>36</v>
      </c>
      <c r="D637" t="s">
        <v>18</v>
      </c>
      <c r="E637" t="s">
        <v>2049</v>
      </c>
      <c r="F637" t="s">
        <v>277</v>
      </c>
      <c r="G637" t="s">
        <v>21</v>
      </c>
      <c r="H637" t="s">
        <v>22</v>
      </c>
      <c r="I637" t="s">
        <v>23</v>
      </c>
      <c r="J637" t="s">
        <v>24</v>
      </c>
      <c r="K637" t="s">
        <v>23</v>
      </c>
      <c r="L637" t="s">
        <v>2116</v>
      </c>
      <c r="M637" t="s">
        <v>2117</v>
      </c>
      <c r="N637">
        <v>12</v>
      </c>
      <c r="O637">
        <v>178102.5</v>
      </c>
    </row>
    <row r="638" spans="1:15" x14ac:dyDescent="0.35">
      <c r="A638" t="s">
        <v>15</v>
      </c>
      <c r="B638" t="s">
        <v>16</v>
      </c>
      <c r="C638" t="s">
        <v>17</v>
      </c>
      <c r="D638" t="s">
        <v>762</v>
      </c>
      <c r="E638" t="s">
        <v>1995</v>
      </c>
      <c r="F638" t="s">
        <v>55</v>
      </c>
      <c r="G638" t="s">
        <v>764</v>
      </c>
      <c r="H638" t="s">
        <v>115</v>
      </c>
      <c r="I638" t="s">
        <v>23</v>
      </c>
      <c r="J638" s="1">
        <v>37990</v>
      </c>
      <c r="K638" t="s">
        <v>23</v>
      </c>
      <c r="L638" t="s">
        <v>765</v>
      </c>
      <c r="M638" t="s">
        <v>2118</v>
      </c>
      <c r="N638">
        <v>3</v>
      </c>
      <c r="O638">
        <v>52987</v>
      </c>
    </row>
    <row r="639" spans="1:15" x14ac:dyDescent="0.35">
      <c r="A639" t="s">
        <v>15</v>
      </c>
      <c r="B639" t="s">
        <v>16</v>
      </c>
      <c r="C639" t="s">
        <v>82</v>
      </c>
      <c r="D639" t="s">
        <v>1157</v>
      </c>
      <c r="E639" t="s">
        <v>84</v>
      </c>
      <c r="F639" t="s">
        <v>85</v>
      </c>
      <c r="G639" t="s">
        <v>90</v>
      </c>
      <c r="H639" t="s">
        <v>41</v>
      </c>
      <c r="I639" t="s">
        <v>58</v>
      </c>
      <c r="J639">
        <v>45</v>
      </c>
      <c r="K639" t="s">
        <v>58</v>
      </c>
      <c r="L639" t="s">
        <v>2119</v>
      </c>
      <c r="M639" t="s">
        <v>60</v>
      </c>
      <c r="N639">
        <v>6</v>
      </c>
      <c r="O639">
        <v>152986</v>
      </c>
    </row>
    <row r="640" spans="1:15" x14ac:dyDescent="0.35">
      <c r="A640" t="s">
        <v>15</v>
      </c>
      <c r="B640" t="s">
        <v>16</v>
      </c>
      <c r="C640" t="s">
        <v>61</v>
      </c>
      <c r="D640" t="s">
        <v>875</v>
      </c>
      <c r="E640" t="s">
        <v>796</v>
      </c>
      <c r="F640" t="s">
        <v>39</v>
      </c>
      <c r="G640" t="s">
        <v>797</v>
      </c>
      <c r="H640" t="s">
        <v>115</v>
      </c>
      <c r="I640" t="s">
        <v>58</v>
      </c>
      <c r="J640">
        <v>250</v>
      </c>
      <c r="K640" t="s">
        <v>58</v>
      </c>
      <c r="L640" t="s">
        <v>2120</v>
      </c>
      <c r="M640" t="s">
        <v>2121</v>
      </c>
      <c r="O640">
        <v>139285</v>
      </c>
    </row>
    <row r="641" spans="1:15" x14ac:dyDescent="0.35">
      <c r="A641" t="s">
        <v>15</v>
      </c>
      <c r="B641" t="s">
        <v>16</v>
      </c>
      <c r="C641" t="s">
        <v>61</v>
      </c>
      <c r="D641" t="s">
        <v>525</v>
      </c>
      <c r="E641" t="s">
        <v>646</v>
      </c>
      <c r="F641" t="s">
        <v>55</v>
      </c>
      <c r="G641" t="s">
        <v>527</v>
      </c>
      <c r="H641" t="s">
        <v>41</v>
      </c>
      <c r="I641" t="s">
        <v>23</v>
      </c>
      <c r="J641" s="1">
        <v>40040</v>
      </c>
      <c r="K641" t="s">
        <v>2122</v>
      </c>
      <c r="L641" t="s">
        <v>2123</v>
      </c>
      <c r="M641" t="s">
        <v>2124</v>
      </c>
      <c r="N641">
        <v>3</v>
      </c>
      <c r="O641">
        <v>85616</v>
      </c>
    </row>
    <row r="642" spans="1:15" x14ac:dyDescent="0.35">
      <c r="A642" t="s">
        <v>15</v>
      </c>
      <c r="B642" t="s">
        <v>16</v>
      </c>
      <c r="C642" t="s">
        <v>36</v>
      </c>
      <c r="D642" t="s">
        <v>18</v>
      </c>
      <c r="E642" t="s">
        <v>2125</v>
      </c>
      <c r="F642" t="s">
        <v>125</v>
      </c>
      <c r="G642" t="s">
        <v>21</v>
      </c>
      <c r="H642" t="s">
        <v>22</v>
      </c>
      <c r="I642" t="s">
        <v>23</v>
      </c>
      <c r="J642" t="s">
        <v>24</v>
      </c>
      <c r="K642" t="s">
        <v>23</v>
      </c>
      <c r="L642" t="s">
        <v>2126</v>
      </c>
      <c r="M642" t="s">
        <v>2127</v>
      </c>
      <c r="N642">
        <v>14</v>
      </c>
      <c r="O642">
        <v>150701</v>
      </c>
    </row>
    <row r="643" spans="1:15" x14ac:dyDescent="0.35">
      <c r="A643" t="s">
        <v>15</v>
      </c>
      <c r="B643" t="s">
        <v>99</v>
      </c>
      <c r="C643" t="s">
        <v>17</v>
      </c>
      <c r="D643" t="s">
        <v>1918</v>
      </c>
      <c r="E643" t="s">
        <v>2128</v>
      </c>
      <c r="F643" t="s">
        <v>85</v>
      </c>
      <c r="G643" t="s">
        <v>921</v>
      </c>
      <c r="H643" t="s">
        <v>41</v>
      </c>
      <c r="I643" t="s">
        <v>23</v>
      </c>
      <c r="J643" s="1">
        <v>27030</v>
      </c>
      <c r="K643" t="s">
        <v>23</v>
      </c>
      <c r="L643" t="s">
        <v>2129</v>
      </c>
      <c r="M643" t="s">
        <v>402</v>
      </c>
      <c r="N643">
        <v>6</v>
      </c>
      <c r="O643">
        <v>115815.5</v>
      </c>
    </row>
    <row r="644" spans="1:15" x14ac:dyDescent="0.35">
      <c r="A644" t="s">
        <v>15</v>
      </c>
      <c r="B644" t="s">
        <v>99</v>
      </c>
      <c r="C644" t="s">
        <v>61</v>
      </c>
      <c r="D644" t="s">
        <v>1802</v>
      </c>
      <c r="E644" t="s">
        <v>2130</v>
      </c>
      <c r="F644" t="s">
        <v>125</v>
      </c>
      <c r="G644" t="s">
        <v>1803</v>
      </c>
      <c r="H644" t="s">
        <v>41</v>
      </c>
      <c r="I644" t="s">
        <v>23</v>
      </c>
      <c r="J644" s="1">
        <v>492195</v>
      </c>
      <c r="K644" t="s">
        <v>2131</v>
      </c>
      <c r="L644" t="s">
        <v>2132</v>
      </c>
      <c r="M644" t="s">
        <v>2133</v>
      </c>
      <c r="N644">
        <v>14</v>
      </c>
      <c r="O644">
        <v>19458</v>
      </c>
    </row>
    <row r="645" spans="1:15" x14ac:dyDescent="0.35">
      <c r="A645" t="s">
        <v>15</v>
      </c>
      <c r="B645" t="s">
        <v>16</v>
      </c>
      <c r="C645" t="s">
        <v>17</v>
      </c>
      <c r="D645" t="s">
        <v>655</v>
      </c>
      <c r="E645" t="s">
        <v>258</v>
      </c>
      <c r="F645" t="s">
        <v>244</v>
      </c>
      <c r="G645" t="s">
        <v>656</v>
      </c>
      <c r="H645" t="s">
        <v>115</v>
      </c>
      <c r="I645" t="s">
        <v>23</v>
      </c>
      <c r="J645" s="1">
        <v>300010</v>
      </c>
      <c r="K645" t="s">
        <v>2134</v>
      </c>
      <c r="L645" t="s">
        <v>2135</v>
      </c>
      <c r="M645" t="s">
        <v>2136</v>
      </c>
      <c r="N645">
        <v>2</v>
      </c>
      <c r="O645">
        <v>152404.5</v>
      </c>
    </row>
    <row r="646" spans="1:15" x14ac:dyDescent="0.35">
      <c r="A646" t="s">
        <v>15</v>
      </c>
      <c r="B646" t="s">
        <v>16</v>
      </c>
      <c r="C646" t="s">
        <v>61</v>
      </c>
      <c r="D646" t="s">
        <v>703</v>
      </c>
      <c r="E646" t="s">
        <v>1663</v>
      </c>
      <c r="F646" t="s">
        <v>399</v>
      </c>
      <c r="G646" t="s">
        <v>169</v>
      </c>
      <c r="H646" t="s">
        <v>41</v>
      </c>
      <c r="I646" t="s">
        <v>23</v>
      </c>
      <c r="J646" s="1">
        <v>261060</v>
      </c>
      <c r="K646" t="s">
        <v>2047</v>
      </c>
      <c r="L646" t="s">
        <v>2137</v>
      </c>
      <c r="M646" t="s">
        <v>81</v>
      </c>
      <c r="N646">
        <v>5</v>
      </c>
      <c r="O646">
        <v>9587</v>
      </c>
    </row>
    <row r="647" spans="1:15" x14ac:dyDescent="0.35">
      <c r="A647" t="s">
        <v>15</v>
      </c>
      <c r="B647" t="s">
        <v>99</v>
      </c>
      <c r="C647" t="s">
        <v>17</v>
      </c>
      <c r="D647" t="s">
        <v>1918</v>
      </c>
      <c r="E647" t="s">
        <v>1808</v>
      </c>
      <c r="F647" t="s">
        <v>125</v>
      </c>
      <c r="G647" t="s">
        <v>921</v>
      </c>
      <c r="H647" t="s">
        <v>41</v>
      </c>
      <c r="I647" t="s">
        <v>23</v>
      </c>
      <c r="J647" s="1">
        <v>27070</v>
      </c>
      <c r="K647" t="s">
        <v>23</v>
      </c>
      <c r="L647" t="s">
        <v>2138</v>
      </c>
      <c r="M647" t="s">
        <v>2139</v>
      </c>
      <c r="N647">
        <v>14</v>
      </c>
      <c r="O647">
        <v>115818.5</v>
      </c>
    </row>
    <row r="648" spans="1:15" x14ac:dyDescent="0.35">
      <c r="A648" t="s">
        <v>15</v>
      </c>
      <c r="B648" t="s">
        <v>16</v>
      </c>
      <c r="C648" t="s">
        <v>17</v>
      </c>
      <c r="D648" t="s">
        <v>1600</v>
      </c>
      <c r="E648" t="s">
        <v>2140</v>
      </c>
      <c r="F648" t="s">
        <v>125</v>
      </c>
      <c r="G648" t="s">
        <v>1236</v>
      </c>
      <c r="H648" t="s">
        <v>41</v>
      </c>
      <c r="I648" t="s">
        <v>58</v>
      </c>
      <c r="J648" s="1">
        <v>263590</v>
      </c>
      <c r="K648" t="s">
        <v>2141</v>
      </c>
      <c r="L648" t="s">
        <v>2142</v>
      </c>
      <c r="M648" t="s">
        <v>2143</v>
      </c>
      <c r="N648">
        <v>14</v>
      </c>
      <c r="O648">
        <v>32155</v>
      </c>
    </row>
    <row r="649" spans="1:15" x14ac:dyDescent="0.35">
      <c r="A649" t="s">
        <v>15</v>
      </c>
      <c r="B649" t="s">
        <v>16</v>
      </c>
      <c r="C649" t="s">
        <v>17</v>
      </c>
      <c r="D649" t="s">
        <v>1918</v>
      </c>
      <c r="E649" t="s">
        <v>2144</v>
      </c>
      <c r="F649" t="s">
        <v>196</v>
      </c>
      <c r="G649" t="s">
        <v>921</v>
      </c>
      <c r="H649" t="s">
        <v>41</v>
      </c>
      <c r="I649" t="s">
        <v>23</v>
      </c>
      <c r="J649" s="1">
        <v>27050</v>
      </c>
      <c r="K649" t="s">
        <v>23</v>
      </c>
      <c r="L649" t="s">
        <v>2145</v>
      </c>
      <c r="M649" t="s">
        <v>2146</v>
      </c>
      <c r="N649">
        <v>7</v>
      </c>
      <c r="O649">
        <v>147965.5</v>
      </c>
    </row>
    <row r="650" spans="1:15" x14ac:dyDescent="0.35">
      <c r="A650" t="s">
        <v>15</v>
      </c>
      <c r="B650" t="s">
        <v>99</v>
      </c>
      <c r="C650" t="s">
        <v>36</v>
      </c>
      <c r="D650" t="s">
        <v>750</v>
      </c>
      <c r="E650" t="s">
        <v>2147</v>
      </c>
      <c r="F650" t="s">
        <v>39</v>
      </c>
      <c r="G650" t="s">
        <v>752</v>
      </c>
      <c r="H650" t="s">
        <v>41</v>
      </c>
      <c r="I650" t="s">
        <v>23</v>
      </c>
      <c r="J650" s="1">
        <v>20010</v>
      </c>
      <c r="K650" t="s">
        <v>23</v>
      </c>
      <c r="L650" t="s">
        <v>2148</v>
      </c>
      <c r="M650" t="s">
        <v>2149</v>
      </c>
      <c r="O650">
        <v>82476</v>
      </c>
    </row>
    <row r="651" spans="1:15" x14ac:dyDescent="0.35">
      <c r="A651" t="s">
        <v>15</v>
      </c>
      <c r="B651" t="s">
        <v>27</v>
      </c>
      <c r="C651" t="s">
        <v>36</v>
      </c>
      <c r="D651" t="s">
        <v>582</v>
      </c>
      <c r="E651" t="s">
        <v>1269</v>
      </c>
      <c r="F651" t="s">
        <v>125</v>
      </c>
      <c r="G651" t="s">
        <v>584</v>
      </c>
      <c r="H651" t="s">
        <v>57</v>
      </c>
      <c r="I651" t="s">
        <v>58</v>
      </c>
      <c r="J651" s="1">
        <v>33010</v>
      </c>
      <c r="K651" t="s">
        <v>58</v>
      </c>
      <c r="L651" t="s">
        <v>2150</v>
      </c>
      <c r="M651" t="s">
        <v>586</v>
      </c>
      <c r="N651">
        <v>14</v>
      </c>
      <c r="O651">
        <v>137005</v>
      </c>
    </row>
    <row r="652" spans="1:15" x14ac:dyDescent="0.35">
      <c r="A652" t="s">
        <v>15</v>
      </c>
      <c r="B652" t="s">
        <v>99</v>
      </c>
      <c r="C652" t="s">
        <v>36</v>
      </c>
      <c r="D652" t="s">
        <v>664</v>
      </c>
      <c r="E652" t="s">
        <v>1415</v>
      </c>
      <c r="F652" t="s">
        <v>1149</v>
      </c>
      <c r="G652" t="s">
        <v>79</v>
      </c>
      <c r="H652" t="s">
        <v>41</v>
      </c>
      <c r="I652" t="s">
        <v>23</v>
      </c>
      <c r="J652" s="1">
        <v>94590</v>
      </c>
      <c r="K652" t="s">
        <v>2151</v>
      </c>
      <c r="L652" t="s">
        <v>2152</v>
      </c>
      <c r="M652" t="s">
        <v>118</v>
      </c>
      <c r="N652">
        <v>18</v>
      </c>
      <c r="O652">
        <v>189524</v>
      </c>
    </row>
    <row r="653" spans="1:15" x14ac:dyDescent="0.35">
      <c r="A653" t="s">
        <v>15</v>
      </c>
      <c r="B653" t="s">
        <v>16</v>
      </c>
      <c r="C653" t="s">
        <v>61</v>
      </c>
      <c r="D653" t="s">
        <v>1300</v>
      </c>
      <c r="E653" t="s">
        <v>2003</v>
      </c>
      <c r="F653" t="s">
        <v>196</v>
      </c>
      <c r="G653" t="s">
        <v>1291</v>
      </c>
      <c r="H653" t="s">
        <v>41</v>
      </c>
      <c r="I653" t="s">
        <v>58</v>
      </c>
      <c r="J653" s="1">
        <v>5060</v>
      </c>
      <c r="K653" t="s">
        <v>58</v>
      </c>
      <c r="L653" t="s">
        <v>2153</v>
      </c>
      <c r="M653" t="s">
        <v>1127</v>
      </c>
      <c r="N653">
        <v>7</v>
      </c>
      <c r="O653">
        <v>132889.5</v>
      </c>
    </row>
    <row r="654" spans="1:15" x14ac:dyDescent="0.35">
      <c r="A654" t="s">
        <v>15</v>
      </c>
      <c r="B654" t="s">
        <v>16</v>
      </c>
      <c r="C654" t="s">
        <v>36</v>
      </c>
      <c r="D654" t="s">
        <v>1914</v>
      </c>
      <c r="E654" t="s">
        <v>128</v>
      </c>
      <c r="F654" t="s">
        <v>244</v>
      </c>
      <c r="G654" t="s">
        <v>946</v>
      </c>
      <c r="H654" t="s">
        <v>22</v>
      </c>
      <c r="I654" t="s">
        <v>23</v>
      </c>
      <c r="J654" s="1">
        <v>409050</v>
      </c>
      <c r="K654" t="s">
        <v>2014</v>
      </c>
      <c r="L654" t="s">
        <v>2154</v>
      </c>
      <c r="M654" t="s">
        <v>2155</v>
      </c>
      <c r="N654">
        <v>2</v>
      </c>
      <c r="O654">
        <v>44703.5</v>
      </c>
    </row>
    <row r="655" spans="1:15" x14ac:dyDescent="0.35">
      <c r="A655" t="s">
        <v>15</v>
      </c>
      <c r="B655" t="s">
        <v>27</v>
      </c>
      <c r="C655" t="s">
        <v>36</v>
      </c>
      <c r="D655" t="s">
        <v>762</v>
      </c>
      <c r="E655" t="s">
        <v>2077</v>
      </c>
      <c r="F655" t="s">
        <v>125</v>
      </c>
      <c r="G655" t="s">
        <v>764</v>
      </c>
      <c r="H655" t="s">
        <v>115</v>
      </c>
      <c r="I655" t="s">
        <v>23</v>
      </c>
      <c r="J655" s="1">
        <v>37950</v>
      </c>
      <c r="K655" t="s">
        <v>23</v>
      </c>
      <c r="L655" t="s">
        <v>2156</v>
      </c>
      <c r="M655" t="s">
        <v>2157</v>
      </c>
      <c r="N655">
        <v>14</v>
      </c>
      <c r="O655">
        <v>31351</v>
      </c>
    </row>
    <row r="656" spans="1:15" x14ac:dyDescent="0.35">
      <c r="A656" t="s">
        <v>15</v>
      </c>
      <c r="B656" t="s">
        <v>99</v>
      </c>
      <c r="C656" t="s">
        <v>36</v>
      </c>
      <c r="D656" t="s">
        <v>664</v>
      </c>
      <c r="E656" t="s">
        <v>2049</v>
      </c>
      <c r="F656" t="s">
        <v>39</v>
      </c>
      <c r="G656" t="s">
        <v>79</v>
      </c>
      <c r="H656" t="s">
        <v>41</v>
      </c>
      <c r="I656" t="s">
        <v>23</v>
      </c>
      <c r="J656" s="1">
        <v>94590</v>
      </c>
      <c r="K656" t="s">
        <v>2092</v>
      </c>
      <c r="L656" t="s">
        <v>2158</v>
      </c>
      <c r="M656" t="s">
        <v>118</v>
      </c>
      <c r="O656">
        <v>159376</v>
      </c>
    </row>
    <row r="657" spans="1:15" x14ac:dyDescent="0.35">
      <c r="A657" t="s">
        <v>15</v>
      </c>
      <c r="B657" t="s">
        <v>16</v>
      </c>
      <c r="C657" t="s">
        <v>61</v>
      </c>
      <c r="D657" t="s">
        <v>1531</v>
      </c>
      <c r="E657" t="s">
        <v>165</v>
      </c>
      <c r="F657" t="s">
        <v>203</v>
      </c>
      <c r="G657" t="s">
        <v>412</v>
      </c>
      <c r="H657" t="s">
        <v>41</v>
      </c>
      <c r="I657" t="s">
        <v>23</v>
      </c>
      <c r="J657" s="1">
        <v>17020</v>
      </c>
      <c r="K657" t="s">
        <v>1967</v>
      </c>
      <c r="L657" t="s">
        <v>607</v>
      </c>
      <c r="M657" t="s">
        <v>118</v>
      </c>
      <c r="N657">
        <v>25</v>
      </c>
      <c r="O657">
        <v>173540</v>
      </c>
    </row>
    <row r="658" spans="1:15" x14ac:dyDescent="0.35">
      <c r="A658" t="s">
        <v>15</v>
      </c>
      <c r="B658" t="s">
        <v>27</v>
      </c>
      <c r="C658" t="s">
        <v>36</v>
      </c>
      <c r="D658" t="s">
        <v>18</v>
      </c>
      <c r="E658" t="s">
        <v>2049</v>
      </c>
      <c r="F658" t="s">
        <v>125</v>
      </c>
      <c r="G658" t="s">
        <v>21</v>
      </c>
      <c r="H658" t="s">
        <v>22</v>
      </c>
      <c r="I658" t="s">
        <v>23</v>
      </c>
      <c r="J658" t="s">
        <v>24</v>
      </c>
      <c r="K658" t="s">
        <v>23</v>
      </c>
      <c r="L658" t="s">
        <v>2159</v>
      </c>
      <c r="M658" t="s">
        <v>26</v>
      </c>
      <c r="N658">
        <v>14</v>
      </c>
      <c r="O658">
        <v>182672</v>
      </c>
    </row>
    <row r="659" spans="1:15" x14ac:dyDescent="0.35">
      <c r="A659" t="s">
        <v>75</v>
      </c>
      <c r="B659" t="s">
        <v>16</v>
      </c>
      <c r="C659" t="s">
        <v>17</v>
      </c>
      <c r="D659" t="s">
        <v>757</v>
      </c>
      <c r="E659" t="s">
        <v>2160</v>
      </c>
      <c r="F659" t="s">
        <v>39</v>
      </c>
      <c r="G659" t="s">
        <v>758</v>
      </c>
      <c r="H659" t="s">
        <v>41</v>
      </c>
      <c r="I659" t="s">
        <v>23</v>
      </c>
      <c r="J659" s="1">
        <v>212630</v>
      </c>
      <c r="K659" t="s">
        <v>2161</v>
      </c>
      <c r="L659" t="s">
        <v>2162</v>
      </c>
      <c r="M659" t="s">
        <v>2163</v>
      </c>
      <c r="O659">
        <v>41974</v>
      </c>
    </row>
    <row r="660" spans="1:15" x14ac:dyDescent="0.35">
      <c r="A660" t="s">
        <v>15</v>
      </c>
      <c r="B660" t="s">
        <v>16</v>
      </c>
      <c r="C660" t="s">
        <v>36</v>
      </c>
      <c r="D660" t="s">
        <v>831</v>
      </c>
      <c r="E660" t="s">
        <v>2164</v>
      </c>
      <c r="F660" t="s">
        <v>399</v>
      </c>
      <c r="G660" t="s">
        <v>90</v>
      </c>
      <c r="H660" t="s">
        <v>41</v>
      </c>
      <c r="I660" t="s">
        <v>23</v>
      </c>
      <c r="J660" s="1">
        <v>65820</v>
      </c>
      <c r="K660" t="s">
        <v>832</v>
      </c>
      <c r="L660" t="s">
        <v>2165</v>
      </c>
      <c r="M660" t="s">
        <v>2166</v>
      </c>
      <c r="N660">
        <v>5</v>
      </c>
      <c r="O660">
        <v>217791.5</v>
      </c>
    </row>
    <row r="661" spans="1:15" x14ac:dyDescent="0.35">
      <c r="A661" t="s">
        <v>15</v>
      </c>
      <c r="B661" t="s">
        <v>16</v>
      </c>
      <c r="C661" t="s">
        <v>17</v>
      </c>
      <c r="D661" t="s">
        <v>45</v>
      </c>
      <c r="E661" t="s">
        <v>335</v>
      </c>
      <c r="F661" t="s">
        <v>125</v>
      </c>
      <c r="G661" t="s">
        <v>48</v>
      </c>
      <c r="H661" t="s">
        <v>41</v>
      </c>
      <c r="I661" t="s">
        <v>23</v>
      </c>
      <c r="J661" s="1">
        <v>34660</v>
      </c>
      <c r="K661" t="s">
        <v>2167</v>
      </c>
      <c r="L661" t="s">
        <v>2168</v>
      </c>
      <c r="M661" t="s">
        <v>110</v>
      </c>
      <c r="N661">
        <v>14</v>
      </c>
      <c r="O661">
        <v>40080</v>
      </c>
    </row>
    <row r="662" spans="1:15" x14ac:dyDescent="0.35">
      <c r="A662" t="s">
        <v>15</v>
      </c>
      <c r="B662" t="s">
        <v>52</v>
      </c>
      <c r="C662" t="s">
        <v>36</v>
      </c>
      <c r="D662" t="s">
        <v>1458</v>
      </c>
      <c r="E662" t="s">
        <v>54</v>
      </c>
      <c r="F662" t="s">
        <v>125</v>
      </c>
      <c r="G662" t="s">
        <v>1459</v>
      </c>
      <c r="H662" t="s">
        <v>41</v>
      </c>
      <c r="I662" t="s">
        <v>23</v>
      </c>
      <c r="J662" s="1">
        <v>2270</v>
      </c>
      <c r="K662" t="s">
        <v>23</v>
      </c>
      <c r="L662" t="s">
        <v>2169</v>
      </c>
      <c r="M662" t="s">
        <v>60</v>
      </c>
      <c r="N662">
        <v>14</v>
      </c>
      <c r="O662">
        <v>181469.5</v>
      </c>
    </row>
    <row r="663" spans="1:15" x14ac:dyDescent="0.35">
      <c r="A663" t="s">
        <v>15</v>
      </c>
      <c r="B663" t="s">
        <v>16</v>
      </c>
      <c r="C663" t="s">
        <v>61</v>
      </c>
      <c r="D663" t="s">
        <v>2170</v>
      </c>
      <c r="E663" t="s">
        <v>1814</v>
      </c>
      <c r="F663" t="s">
        <v>125</v>
      </c>
      <c r="G663" t="s">
        <v>204</v>
      </c>
      <c r="H663" t="s">
        <v>41</v>
      </c>
      <c r="I663" t="s">
        <v>23</v>
      </c>
      <c r="J663" s="1">
        <v>26090</v>
      </c>
      <c r="K663" t="s">
        <v>23</v>
      </c>
      <c r="L663" t="s">
        <v>2171</v>
      </c>
      <c r="M663" t="s">
        <v>2172</v>
      </c>
      <c r="N663">
        <v>14</v>
      </c>
      <c r="O663">
        <v>78110</v>
      </c>
    </row>
    <row r="664" spans="1:15" x14ac:dyDescent="0.35">
      <c r="A664" t="s">
        <v>15</v>
      </c>
      <c r="B664" t="s">
        <v>16</v>
      </c>
      <c r="C664" t="s">
        <v>36</v>
      </c>
      <c r="D664" t="s">
        <v>694</v>
      </c>
      <c r="E664" t="s">
        <v>695</v>
      </c>
      <c r="F664" t="s">
        <v>47</v>
      </c>
      <c r="G664" t="s">
        <v>580</v>
      </c>
      <c r="H664" t="s">
        <v>41</v>
      </c>
      <c r="I664" t="s">
        <v>23</v>
      </c>
      <c r="J664" s="1">
        <v>26020</v>
      </c>
      <c r="K664" t="s">
        <v>2034</v>
      </c>
      <c r="L664" t="s">
        <v>2173</v>
      </c>
      <c r="M664" t="s">
        <v>2174</v>
      </c>
      <c r="N664">
        <v>8</v>
      </c>
      <c r="O664">
        <v>114169</v>
      </c>
    </row>
    <row r="665" spans="1:15" x14ac:dyDescent="0.35">
      <c r="A665" t="s">
        <v>15</v>
      </c>
      <c r="B665" t="s">
        <v>99</v>
      </c>
      <c r="C665" t="s">
        <v>17</v>
      </c>
      <c r="D665" t="s">
        <v>629</v>
      </c>
      <c r="E665" t="s">
        <v>1808</v>
      </c>
      <c r="F665" t="s">
        <v>125</v>
      </c>
      <c r="G665" t="s">
        <v>221</v>
      </c>
      <c r="H665" t="s">
        <v>57</v>
      </c>
      <c r="I665" t="s">
        <v>23</v>
      </c>
      <c r="J665" s="1">
        <v>21030</v>
      </c>
      <c r="K665" t="s">
        <v>630</v>
      </c>
      <c r="L665" t="s">
        <v>2175</v>
      </c>
      <c r="M665" t="s">
        <v>2176</v>
      </c>
      <c r="N665">
        <v>14</v>
      </c>
      <c r="O665">
        <v>135636.5</v>
      </c>
    </row>
    <row r="666" spans="1:15" x14ac:dyDescent="0.35">
      <c r="A666" t="s">
        <v>15</v>
      </c>
      <c r="B666" t="s">
        <v>16</v>
      </c>
      <c r="C666" t="s">
        <v>36</v>
      </c>
      <c r="D666" t="s">
        <v>371</v>
      </c>
      <c r="E666" t="s">
        <v>855</v>
      </c>
      <c r="F666" t="s">
        <v>85</v>
      </c>
      <c r="G666" t="s">
        <v>204</v>
      </c>
      <c r="H666" t="s">
        <v>22</v>
      </c>
      <c r="I666" t="s">
        <v>23</v>
      </c>
      <c r="J666" s="1">
        <v>865416</v>
      </c>
      <c r="K666" t="s">
        <v>2177</v>
      </c>
      <c r="L666" t="s">
        <v>2178</v>
      </c>
      <c r="M666" t="s">
        <v>1373</v>
      </c>
      <c r="N666">
        <v>6</v>
      </c>
      <c r="O666">
        <v>168517.5</v>
      </c>
    </row>
    <row r="667" spans="1:15" x14ac:dyDescent="0.35">
      <c r="A667" t="s">
        <v>15</v>
      </c>
      <c r="B667" t="s">
        <v>16</v>
      </c>
      <c r="C667" t="s">
        <v>61</v>
      </c>
      <c r="D667" t="s">
        <v>2179</v>
      </c>
      <c r="E667" t="s">
        <v>2180</v>
      </c>
      <c r="F667" t="s">
        <v>85</v>
      </c>
      <c r="G667" t="s">
        <v>65</v>
      </c>
      <c r="H667" t="s">
        <v>41</v>
      </c>
      <c r="I667" t="s">
        <v>23</v>
      </c>
      <c r="J667" s="1">
        <v>5010</v>
      </c>
      <c r="K667" t="s">
        <v>23</v>
      </c>
      <c r="L667" t="s">
        <v>2181</v>
      </c>
      <c r="M667" t="s">
        <v>2182</v>
      </c>
      <c r="N667">
        <v>6</v>
      </c>
      <c r="O667">
        <v>38945</v>
      </c>
    </row>
    <row r="668" spans="1:15" x14ac:dyDescent="0.35">
      <c r="A668" t="s">
        <v>15</v>
      </c>
      <c r="B668" t="s">
        <v>16</v>
      </c>
      <c r="C668" t="s">
        <v>36</v>
      </c>
      <c r="D668" t="s">
        <v>703</v>
      </c>
      <c r="E668" t="s">
        <v>1663</v>
      </c>
      <c r="F668" t="s">
        <v>125</v>
      </c>
      <c r="G668" t="s">
        <v>169</v>
      </c>
      <c r="H668" t="s">
        <v>41</v>
      </c>
      <c r="I668" t="s">
        <v>23</v>
      </c>
      <c r="J668" s="1">
        <v>261060</v>
      </c>
      <c r="K668" t="s">
        <v>704</v>
      </c>
      <c r="L668" t="s">
        <v>2183</v>
      </c>
      <c r="M668" t="s">
        <v>118</v>
      </c>
      <c r="N668">
        <v>14</v>
      </c>
      <c r="O668">
        <v>9586</v>
      </c>
    </row>
    <row r="669" spans="1:15" x14ac:dyDescent="0.35">
      <c r="A669" t="s">
        <v>15</v>
      </c>
      <c r="B669" t="s">
        <v>16</v>
      </c>
      <c r="C669" t="s">
        <v>61</v>
      </c>
      <c r="D669" t="s">
        <v>2184</v>
      </c>
      <c r="E669" t="s">
        <v>2185</v>
      </c>
      <c r="F669" t="s">
        <v>196</v>
      </c>
      <c r="G669" t="s">
        <v>86</v>
      </c>
      <c r="H669" t="s">
        <v>41</v>
      </c>
      <c r="I669" t="s">
        <v>23</v>
      </c>
      <c r="J669">
        <v>990</v>
      </c>
      <c r="K669" t="s">
        <v>23</v>
      </c>
      <c r="L669" t="s">
        <v>2186</v>
      </c>
      <c r="M669" t="s">
        <v>2187</v>
      </c>
      <c r="N669">
        <v>7</v>
      </c>
      <c r="O669">
        <v>54805</v>
      </c>
    </row>
    <row r="670" spans="1:15" x14ac:dyDescent="0.35">
      <c r="A670" t="s">
        <v>15</v>
      </c>
      <c r="B670" t="s">
        <v>27</v>
      </c>
      <c r="C670" t="s">
        <v>61</v>
      </c>
      <c r="D670" t="s">
        <v>655</v>
      </c>
      <c r="E670" t="s">
        <v>1983</v>
      </c>
      <c r="F670" t="s">
        <v>39</v>
      </c>
      <c r="G670" t="s">
        <v>656</v>
      </c>
      <c r="H670" t="s">
        <v>115</v>
      </c>
      <c r="I670" t="s">
        <v>23</v>
      </c>
      <c r="J670" s="1">
        <v>300010</v>
      </c>
      <c r="K670" t="s">
        <v>2188</v>
      </c>
      <c r="L670" t="s">
        <v>2189</v>
      </c>
      <c r="M670" t="s">
        <v>110</v>
      </c>
      <c r="O670">
        <v>197555</v>
      </c>
    </row>
    <row r="671" spans="1:15" x14ac:dyDescent="0.35">
      <c r="A671" t="s">
        <v>15</v>
      </c>
      <c r="B671" t="s">
        <v>16</v>
      </c>
      <c r="C671" t="s">
        <v>36</v>
      </c>
      <c r="D671" t="s">
        <v>2190</v>
      </c>
      <c r="E671" t="s">
        <v>2191</v>
      </c>
      <c r="F671" t="s">
        <v>196</v>
      </c>
      <c r="G671" t="s">
        <v>523</v>
      </c>
      <c r="H671" t="s">
        <v>32</v>
      </c>
      <c r="I671" t="s">
        <v>23</v>
      </c>
      <c r="J671" s="1">
        <v>101040</v>
      </c>
      <c r="K671" t="s">
        <v>2192</v>
      </c>
      <c r="L671" t="s">
        <v>2193</v>
      </c>
      <c r="M671" t="s">
        <v>2194</v>
      </c>
      <c r="N671">
        <v>7</v>
      </c>
      <c r="O671">
        <v>91341.5</v>
      </c>
    </row>
    <row r="672" spans="1:15" x14ac:dyDescent="0.35">
      <c r="A672" t="s">
        <v>15</v>
      </c>
      <c r="B672" t="s">
        <v>69</v>
      </c>
      <c r="C672" t="s">
        <v>61</v>
      </c>
      <c r="D672" t="s">
        <v>168</v>
      </c>
      <c r="E672" t="s">
        <v>128</v>
      </c>
      <c r="F672" t="s">
        <v>39</v>
      </c>
      <c r="G672" t="s">
        <v>169</v>
      </c>
      <c r="H672" t="s">
        <v>41</v>
      </c>
      <c r="I672" t="s">
        <v>23</v>
      </c>
      <c r="J672" s="1">
        <v>222050</v>
      </c>
      <c r="K672" t="s">
        <v>692</v>
      </c>
      <c r="L672" t="s">
        <v>171</v>
      </c>
      <c r="M672" t="s">
        <v>172</v>
      </c>
      <c r="O672">
        <v>10049</v>
      </c>
    </row>
    <row r="673" spans="1:15" x14ac:dyDescent="0.35">
      <c r="A673" t="s">
        <v>15</v>
      </c>
      <c r="B673" t="s">
        <v>16</v>
      </c>
      <c r="C673" t="s">
        <v>36</v>
      </c>
      <c r="D673" t="s">
        <v>1073</v>
      </c>
      <c r="E673" t="s">
        <v>2195</v>
      </c>
      <c r="F673" t="s">
        <v>64</v>
      </c>
      <c r="G673" t="s">
        <v>1075</v>
      </c>
      <c r="H673" t="s">
        <v>41</v>
      </c>
      <c r="I673" t="s">
        <v>23</v>
      </c>
      <c r="J673" s="1">
        <v>83550</v>
      </c>
      <c r="K673" t="s">
        <v>23</v>
      </c>
      <c r="L673" t="s">
        <v>2196</v>
      </c>
      <c r="M673" t="s">
        <v>2197</v>
      </c>
      <c r="N673">
        <v>3</v>
      </c>
      <c r="O673">
        <v>163126</v>
      </c>
    </row>
    <row r="674" spans="1:15" x14ac:dyDescent="0.35">
      <c r="A674" t="s">
        <v>15</v>
      </c>
      <c r="B674" t="s">
        <v>16</v>
      </c>
      <c r="C674" t="s">
        <v>36</v>
      </c>
      <c r="D674" t="s">
        <v>750</v>
      </c>
      <c r="E674" t="s">
        <v>2198</v>
      </c>
      <c r="F674" t="s">
        <v>39</v>
      </c>
      <c r="G674" t="s">
        <v>752</v>
      </c>
      <c r="H674" t="s">
        <v>41</v>
      </c>
      <c r="I674" t="s">
        <v>23</v>
      </c>
      <c r="J674" s="1">
        <v>20010</v>
      </c>
      <c r="K674" t="s">
        <v>23</v>
      </c>
      <c r="L674" t="s">
        <v>2199</v>
      </c>
      <c r="M674" t="s">
        <v>118</v>
      </c>
      <c r="O674">
        <v>96180</v>
      </c>
    </row>
    <row r="675" spans="1:15" x14ac:dyDescent="0.35">
      <c r="A675" t="s">
        <v>15</v>
      </c>
      <c r="B675" t="s">
        <v>16</v>
      </c>
      <c r="C675" t="s">
        <v>82</v>
      </c>
      <c r="D675" t="s">
        <v>550</v>
      </c>
      <c r="E675" t="s">
        <v>1148</v>
      </c>
      <c r="F675" t="s">
        <v>39</v>
      </c>
      <c r="G675" t="s">
        <v>65</v>
      </c>
      <c r="H675" t="s">
        <v>41</v>
      </c>
      <c r="I675" t="s">
        <v>23</v>
      </c>
      <c r="J675" s="1">
        <v>10070</v>
      </c>
      <c r="K675" t="s">
        <v>23</v>
      </c>
      <c r="L675" t="s">
        <v>552</v>
      </c>
      <c r="M675" t="s">
        <v>2200</v>
      </c>
      <c r="O675">
        <v>99560</v>
      </c>
    </row>
    <row r="676" spans="1:15" x14ac:dyDescent="0.35">
      <c r="A676" t="s">
        <v>15</v>
      </c>
      <c r="B676" t="s">
        <v>99</v>
      </c>
      <c r="C676" t="s">
        <v>61</v>
      </c>
      <c r="D676" t="s">
        <v>579</v>
      </c>
      <c r="E676" t="s">
        <v>860</v>
      </c>
      <c r="F676" t="s">
        <v>39</v>
      </c>
      <c r="G676" t="s">
        <v>580</v>
      </c>
      <c r="H676" t="s">
        <v>41</v>
      </c>
      <c r="I676" t="s">
        <v>23</v>
      </c>
      <c r="J676" s="1">
        <v>27390</v>
      </c>
      <c r="K676" t="s">
        <v>23</v>
      </c>
      <c r="L676" t="s">
        <v>2201</v>
      </c>
      <c r="M676" t="s">
        <v>2202</v>
      </c>
      <c r="O676">
        <v>134184.5</v>
      </c>
    </row>
    <row r="677" spans="1:15" x14ac:dyDescent="0.35">
      <c r="A677" t="s">
        <v>15</v>
      </c>
      <c r="B677" t="s">
        <v>16</v>
      </c>
      <c r="C677" t="s">
        <v>82</v>
      </c>
      <c r="D677" t="s">
        <v>550</v>
      </c>
      <c r="E677" t="s">
        <v>2203</v>
      </c>
      <c r="F677" t="s">
        <v>39</v>
      </c>
      <c r="G677" t="s">
        <v>65</v>
      </c>
      <c r="H677" t="s">
        <v>41</v>
      </c>
      <c r="I677" t="s">
        <v>23</v>
      </c>
      <c r="J677" s="1">
        <v>10020</v>
      </c>
      <c r="K677" t="s">
        <v>23</v>
      </c>
      <c r="L677" t="s">
        <v>2204</v>
      </c>
      <c r="M677" t="s">
        <v>2205</v>
      </c>
      <c r="O677">
        <v>99554</v>
      </c>
    </row>
    <row r="678" spans="1:15" x14ac:dyDescent="0.35">
      <c r="A678" t="s">
        <v>15</v>
      </c>
      <c r="B678" t="s">
        <v>16</v>
      </c>
      <c r="C678" t="s">
        <v>82</v>
      </c>
      <c r="D678" t="s">
        <v>962</v>
      </c>
      <c r="E678" t="s">
        <v>2206</v>
      </c>
      <c r="F678" t="s">
        <v>399</v>
      </c>
      <c r="G678" t="s">
        <v>964</v>
      </c>
      <c r="H678" t="s">
        <v>41</v>
      </c>
      <c r="I678" t="s">
        <v>61</v>
      </c>
      <c r="J678" t="s">
        <v>58</v>
      </c>
      <c r="K678" t="s">
        <v>965</v>
      </c>
      <c r="L678" t="s">
        <v>2207</v>
      </c>
      <c r="M678" t="s">
        <v>1975</v>
      </c>
      <c r="N678">
        <v>5</v>
      </c>
      <c r="O678">
        <v>7678</v>
      </c>
    </row>
    <row r="679" spans="1:15" x14ac:dyDescent="0.35">
      <c r="A679" t="s">
        <v>15</v>
      </c>
      <c r="B679" t="s">
        <v>16</v>
      </c>
      <c r="C679" t="s">
        <v>36</v>
      </c>
      <c r="D679" t="s">
        <v>579</v>
      </c>
      <c r="E679" t="s">
        <v>2208</v>
      </c>
      <c r="F679" t="s">
        <v>39</v>
      </c>
      <c r="G679" t="s">
        <v>580</v>
      </c>
      <c r="H679" t="s">
        <v>41</v>
      </c>
      <c r="I679" t="s">
        <v>23</v>
      </c>
      <c r="J679" s="1">
        <v>27400</v>
      </c>
      <c r="K679" t="s">
        <v>23</v>
      </c>
      <c r="L679" t="s">
        <v>2209</v>
      </c>
      <c r="M679" t="s">
        <v>2210</v>
      </c>
      <c r="O679">
        <v>109180</v>
      </c>
    </row>
    <row r="680" spans="1:15" x14ac:dyDescent="0.35">
      <c r="A680" t="s">
        <v>15</v>
      </c>
      <c r="B680" t="s">
        <v>16</v>
      </c>
      <c r="C680" t="s">
        <v>36</v>
      </c>
      <c r="D680" t="s">
        <v>1734</v>
      </c>
      <c r="E680" t="s">
        <v>228</v>
      </c>
      <c r="F680" t="s">
        <v>196</v>
      </c>
      <c r="G680" t="s">
        <v>1354</v>
      </c>
      <c r="H680" t="s">
        <v>41</v>
      </c>
      <c r="I680" t="s">
        <v>23</v>
      </c>
      <c r="J680" s="1">
        <v>1300</v>
      </c>
      <c r="K680" t="s">
        <v>23</v>
      </c>
      <c r="L680" t="s">
        <v>2211</v>
      </c>
      <c r="M680" t="s">
        <v>2212</v>
      </c>
      <c r="N680">
        <v>7</v>
      </c>
      <c r="O680">
        <v>129473</v>
      </c>
    </row>
    <row r="681" spans="1:15" x14ac:dyDescent="0.35">
      <c r="A681" t="s">
        <v>15</v>
      </c>
      <c r="B681" t="s">
        <v>16</v>
      </c>
      <c r="C681" t="s">
        <v>36</v>
      </c>
      <c r="D681" t="s">
        <v>915</v>
      </c>
      <c r="E681" t="s">
        <v>540</v>
      </c>
      <c r="F681" t="s">
        <v>39</v>
      </c>
      <c r="G681" t="s">
        <v>916</v>
      </c>
      <c r="H681" t="s">
        <v>57</v>
      </c>
      <c r="I681" t="s">
        <v>23</v>
      </c>
      <c r="J681" s="1">
        <v>62040</v>
      </c>
      <c r="K681" t="s">
        <v>1708</v>
      </c>
      <c r="L681" t="s">
        <v>2213</v>
      </c>
      <c r="M681" t="s">
        <v>2080</v>
      </c>
      <c r="O681">
        <v>216741</v>
      </c>
    </row>
    <row r="682" spans="1:15" x14ac:dyDescent="0.35">
      <c r="A682" t="s">
        <v>15</v>
      </c>
      <c r="B682" t="s">
        <v>99</v>
      </c>
      <c r="C682" t="s">
        <v>61</v>
      </c>
      <c r="D682" t="s">
        <v>1802</v>
      </c>
      <c r="E682" t="s">
        <v>318</v>
      </c>
      <c r="F682" t="s">
        <v>125</v>
      </c>
      <c r="G682" t="s">
        <v>1803</v>
      </c>
      <c r="H682" t="s">
        <v>41</v>
      </c>
      <c r="I682" t="s">
        <v>23</v>
      </c>
      <c r="J682" s="1">
        <v>492235</v>
      </c>
      <c r="K682" t="s">
        <v>2214</v>
      </c>
      <c r="L682" t="s">
        <v>2215</v>
      </c>
      <c r="M682" t="s">
        <v>2216</v>
      </c>
      <c r="N682">
        <v>14</v>
      </c>
      <c r="O682">
        <v>19460</v>
      </c>
    </row>
    <row r="683" spans="1:15" x14ac:dyDescent="0.35">
      <c r="A683" t="s">
        <v>15</v>
      </c>
      <c r="B683" t="s">
        <v>16</v>
      </c>
      <c r="C683" t="s">
        <v>82</v>
      </c>
      <c r="D683" t="s">
        <v>1238</v>
      </c>
      <c r="E683" t="s">
        <v>84</v>
      </c>
      <c r="F683" t="s">
        <v>1239</v>
      </c>
      <c r="G683" t="s">
        <v>90</v>
      </c>
      <c r="H683" t="s">
        <v>156</v>
      </c>
      <c r="I683" t="s">
        <v>58</v>
      </c>
      <c r="J683">
        <v>90</v>
      </c>
      <c r="K683" t="s">
        <v>58</v>
      </c>
      <c r="L683" t="s">
        <v>2217</v>
      </c>
      <c r="M683" t="s">
        <v>60</v>
      </c>
      <c r="N683">
        <v>6</v>
      </c>
      <c r="O683">
        <v>189518</v>
      </c>
    </row>
    <row r="684" spans="1:15" x14ac:dyDescent="0.35">
      <c r="A684" t="s">
        <v>75</v>
      </c>
      <c r="B684" t="s">
        <v>16</v>
      </c>
      <c r="C684" t="s">
        <v>61</v>
      </c>
      <c r="D684" t="s">
        <v>1802</v>
      </c>
      <c r="E684" t="s">
        <v>128</v>
      </c>
      <c r="F684" t="s">
        <v>125</v>
      </c>
      <c r="G684" t="s">
        <v>1803</v>
      </c>
      <c r="H684" t="s">
        <v>41</v>
      </c>
      <c r="I684" t="s">
        <v>23</v>
      </c>
      <c r="J684" s="1">
        <v>492235</v>
      </c>
      <c r="K684" t="s">
        <v>2218</v>
      </c>
      <c r="L684" t="s">
        <v>2219</v>
      </c>
      <c r="M684" t="s">
        <v>659</v>
      </c>
      <c r="N684">
        <v>14</v>
      </c>
      <c r="O684">
        <v>18355.5</v>
      </c>
    </row>
    <row r="685" spans="1:15" x14ac:dyDescent="0.35">
      <c r="A685" t="s">
        <v>15</v>
      </c>
      <c r="B685" t="s">
        <v>52</v>
      </c>
      <c r="C685" t="s">
        <v>36</v>
      </c>
      <c r="D685" t="s">
        <v>286</v>
      </c>
      <c r="E685" t="s">
        <v>287</v>
      </c>
      <c r="F685" t="s">
        <v>39</v>
      </c>
      <c r="G685" t="s">
        <v>90</v>
      </c>
      <c r="H685" t="s">
        <v>57</v>
      </c>
      <c r="I685" t="s">
        <v>58</v>
      </c>
      <c r="J685">
        <v>950</v>
      </c>
      <c r="K685" t="s">
        <v>2220</v>
      </c>
      <c r="L685" t="s">
        <v>2221</v>
      </c>
      <c r="M685" t="s">
        <v>60</v>
      </c>
      <c r="O685">
        <v>156184.5</v>
      </c>
    </row>
    <row r="686" spans="1:15" x14ac:dyDescent="0.35">
      <c r="A686" t="s">
        <v>15</v>
      </c>
      <c r="B686" t="s">
        <v>16</v>
      </c>
      <c r="C686" t="s">
        <v>61</v>
      </c>
      <c r="D686" t="s">
        <v>2222</v>
      </c>
      <c r="E686" t="s">
        <v>646</v>
      </c>
      <c r="F686" t="s">
        <v>399</v>
      </c>
      <c r="G686" t="s">
        <v>647</v>
      </c>
      <c r="H686" t="s">
        <v>41</v>
      </c>
      <c r="I686" t="s">
        <v>23</v>
      </c>
      <c r="J686" s="1">
        <v>36130</v>
      </c>
      <c r="K686" t="s">
        <v>23</v>
      </c>
      <c r="L686" t="s">
        <v>2223</v>
      </c>
      <c r="M686" t="s">
        <v>2224</v>
      </c>
      <c r="N686">
        <v>5</v>
      </c>
      <c r="O686">
        <v>116419.5</v>
      </c>
    </row>
    <row r="687" spans="1:15" x14ac:dyDescent="0.35">
      <c r="A687" t="s">
        <v>15</v>
      </c>
      <c r="B687" t="s">
        <v>16</v>
      </c>
      <c r="C687" t="s">
        <v>61</v>
      </c>
      <c r="D687" t="s">
        <v>1929</v>
      </c>
      <c r="E687" t="s">
        <v>974</v>
      </c>
      <c r="F687" t="s">
        <v>139</v>
      </c>
      <c r="G687" t="s">
        <v>229</v>
      </c>
      <c r="H687" t="s">
        <v>57</v>
      </c>
      <c r="I687" t="s">
        <v>58</v>
      </c>
      <c r="J687" s="1">
        <v>312010</v>
      </c>
      <c r="K687" t="s">
        <v>58</v>
      </c>
      <c r="L687" t="s">
        <v>2225</v>
      </c>
      <c r="M687" t="s">
        <v>60</v>
      </c>
      <c r="N687">
        <v>13</v>
      </c>
      <c r="O687">
        <v>28046</v>
      </c>
    </row>
    <row r="688" spans="1:15" x14ac:dyDescent="0.35">
      <c r="A688" t="s">
        <v>15</v>
      </c>
      <c r="B688" t="s">
        <v>16</v>
      </c>
      <c r="C688" t="s">
        <v>36</v>
      </c>
      <c r="D688" t="s">
        <v>767</v>
      </c>
      <c r="E688" t="s">
        <v>1439</v>
      </c>
      <c r="F688" t="s">
        <v>125</v>
      </c>
      <c r="G688" t="s">
        <v>769</v>
      </c>
      <c r="H688" t="s">
        <v>41</v>
      </c>
      <c r="I688" t="s">
        <v>23</v>
      </c>
      <c r="J688" s="1">
        <v>65140</v>
      </c>
      <c r="K688" t="s">
        <v>23</v>
      </c>
      <c r="L688" t="s">
        <v>2226</v>
      </c>
      <c r="M688" t="s">
        <v>1689</v>
      </c>
      <c r="N688">
        <v>14</v>
      </c>
      <c r="O688">
        <v>107357</v>
      </c>
    </row>
    <row r="689" spans="1:15" x14ac:dyDescent="0.35">
      <c r="A689" t="s">
        <v>15</v>
      </c>
      <c r="B689" t="s">
        <v>16</v>
      </c>
      <c r="C689" t="s">
        <v>36</v>
      </c>
      <c r="D689" t="s">
        <v>664</v>
      </c>
      <c r="E689" t="s">
        <v>665</v>
      </c>
      <c r="F689" t="s">
        <v>847</v>
      </c>
      <c r="G689" t="s">
        <v>79</v>
      </c>
      <c r="H689" t="s">
        <v>41</v>
      </c>
      <c r="I689" t="s">
        <v>23</v>
      </c>
      <c r="J689" s="1">
        <v>94580</v>
      </c>
      <c r="K689" t="s">
        <v>666</v>
      </c>
      <c r="L689" t="s">
        <v>2227</v>
      </c>
      <c r="M689" t="s">
        <v>118</v>
      </c>
      <c r="N689">
        <v>16</v>
      </c>
      <c r="O689">
        <v>159379</v>
      </c>
    </row>
    <row r="690" spans="1:15" x14ac:dyDescent="0.35">
      <c r="A690" t="s">
        <v>15</v>
      </c>
      <c r="B690" t="s">
        <v>16</v>
      </c>
      <c r="C690" t="s">
        <v>82</v>
      </c>
      <c r="D690" t="s">
        <v>1879</v>
      </c>
      <c r="E690" t="s">
        <v>1880</v>
      </c>
      <c r="F690" t="s">
        <v>30</v>
      </c>
      <c r="G690" t="s">
        <v>1881</v>
      </c>
      <c r="H690" t="s">
        <v>115</v>
      </c>
      <c r="I690" t="s">
        <v>23</v>
      </c>
      <c r="J690" s="1">
        <v>4560</v>
      </c>
      <c r="K690" t="s">
        <v>23</v>
      </c>
      <c r="L690" t="s">
        <v>2228</v>
      </c>
      <c r="M690" t="s">
        <v>60</v>
      </c>
      <c r="N690">
        <v>15</v>
      </c>
      <c r="O690">
        <v>168967</v>
      </c>
    </row>
    <row r="691" spans="1:15" x14ac:dyDescent="0.35">
      <c r="A691" t="s">
        <v>15</v>
      </c>
      <c r="B691" t="s">
        <v>16</v>
      </c>
      <c r="C691" t="s">
        <v>36</v>
      </c>
      <c r="D691" t="s">
        <v>18</v>
      </c>
      <c r="E691" t="s">
        <v>2049</v>
      </c>
      <c r="F691" t="s">
        <v>847</v>
      </c>
      <c r="G691" t="s">
        <v>21</v>
      </c>
      <c r="H691" t="s">
        <v>22</v>
      </c>
      <c r="I691" t="s">
        <v>23</v>
      </c>
      <c r="J691" t="s">
        <v>24</v>
      </c>
      <c r="K691" t="s">
        <v>23</v>
      </c>
      <c r="L691" t="s">
        <v>2229</v>
      </c>
      <c r="M691" t="s">
        <v>2127</v>
      </c>
      <c r="N691">
        <v>16</v>
      </c>
      <c r="O691">
        <v>195911</v>
      </c>
    </row>
    <row r="692" spans="1:15" x14ac:dyDescent="0.35">
      <c r="A692" t="s">
        <v>15</v>
      </c>
      <c r="B692" t="s">
        <v>16</v>
      </c>
      <c r="C692" t="s">
        <v>36</v>
      </c>
      <c r="D692" t="s">
        <v>762</v>
      </c>
      <c r="E692" t="s">
        <v>2230</v>
      </c>
      <c r="F692" t="s">
        <v>431</v>
      </c>
      <c r="G692" t="s">
        <v>764</v>
      </c>
      <c r="H692" t="s">
        <v>115</v>
      </c>
      <c r="I692" t="s">
        <v>23</v>
      </c>
      <c r="J692" s="1">
        <v>37990</v>
      </c>
      <c r="K692" t="s">
        <v>23</v>
      </c>
      <c r="L692" t="s">
        <v>2231</v>
      </c>
      <c r="M692" t="s">
        <v>2232</v>
      </c>
      <c r="N692">
        <v>21</v>
      </c>
      <c r="O692">
        <v>31352</v>
      </c>
    </row>
    <row r="693" spans="1:15" x14ac:dyDescent="0.35">
      <c r="A693" t="s">
        <v>15</v>
      </c>
      <c r="B693" t="s">
        <v>27</v>
      </c>
      <c r="C693" t="s">
        <v>61</v>
      </c>
      <c r="D693" t="s">
        <v>601</v>
      </c>
      <c r="E693" t="s">
        <v>128</v>
      </c>
      <c r="F693" t="s">
        <v>30</v>
      </c>
      <c r="G693" t="s">
        <v>65</v>
      </c>
      <c r="H693" t="s">
        <v>57</v>
      </c>
      <c r="I693" t="s">
        <v>23</v>
      </c>
      <c r="J693" s="1">
        <v>290740</v>
      </c>
      <c r="K693" t="s">
        <v>2233</v>
      </c>
      <c r="L693" t="s">
        <v>2234</v>
      </c>
      <c r="M693" t="s">
        <v>2235</v>
      </c>
      <c r="N693">
        <v>15</v>
      </c>
      <c r="O693">
        <v>35607</v>
      </c>
    </row>
    <row r="694" spans="1:15" x14ac:dyDescent="0.35">
      <c r="A694" t="s">
        <v>15</v>
      </c>
      <c r="B694" t="s">
        <v>16</v>
      </c>
      <c r="C694" t="s">
        <v>61</v>
      </c>
      <c r="D694" t="s">
        <v>1531</v>
      </c>
      <c r="E694" t="s">
        <v>743</v>
      </c>
      <c r="F694" t="s">
        <v>39</v>
      </c>
      <c r="G694" t="s">
        <v>412</v>
      </c>
      <c r="H694" t="s">
        <v>41</v>
      </c>
      <c r="I694" t="s">
        <v>23</v>
      </c>
      <c r="J694" s="1">
        <v>17050</v>
      </c>
      <c r="K694" t="s">
        <v>1967</v>
      </c>
      <c r="L694" t="s">
        <v>2236</v>
      </c>
      <c r="M694" t="s">
        <v>241</v>
      </c>
      <c r="O694">
        <v>173536</v>
      </c>
    </row>
    <row r="695" spans="1:15" x14ac:dyDescent="0.35">
      <c r="A695" t="s">
        <v>15</v>
      </c>
      <c r="B695" t="s">
        <v>16</v>
      </c>
      <c r="C695" t="s">
        <v>36</v>
      </c>
      <c r="D695" t="s">
        <v>750</v>
      </c>
      <c r="E695" t="s">
        <v>751</v>
      </c>
      <c r="F695" t="s">
        <v>341</v>
      </c>
      <c r="G695" t="s">
        <v>752</v>
      </c>
      <c r="H695" t="s">
        <v>41</v>
      </c>
      <c r="I695" t="s">
        <v>23</v>
      </c>
      <c r="J695" s="1">
        <v>20020</v>
      </c>
      <c r="K695" t="s">
        <v>23</v>
      </c>
      <c r="L695" t="s">
        <v>2237</v>
      </c>
      <c r="M695" t="s">
        <v>352</v>
      </c>
      <c r="N695">
        <v>2</v>
      </c>
      <c r="O695">
        <v>99006</v>
      </c>
    </row>
    <row r="696" spans="1:15" x14ac:dyDescent="0.35">
      <c r="A696" t="s">
        <v>15</v>
      </c>
      <c r="B696" t="s">
        <v>16</v>
      </c>
      <c r="C696" t="s">
        <v>36</v>
      </c>
      <c r="D696" t="s">
        <v>2238</v>
      </c>
      <c r="E696" t="s">
        <v>165</v>
      </c>
      <c r="F696" t="s">
        <v>125</v>
      </c>
      <c r="G696" t="s">
        <v>2239</v>
      </c>
      <c r="H696" t="s">
        <v>41</v>
      </c>
      <c r="I696" t="s">
        <v>23</v>
      </c>
      <c r="J696" s="1">
        <v>6030</v>
      </c>
      <c r="K696" t="s">
        <v>2240</v>
      </c>
      <c r="L696" t="s">
        <v>2241</v>
      </c>
      <c r="M696" t="s">
        <v>475</v>
      </c>
      <c r="N696">
        <v>14</v>
      </c>
      <c r="O696">
        <v>246789.5</v>
      </c>
    </row>
    <row r="697" spans="1:15" x14ac:dyDescent="0.35">
      <c r="A697" t="s">
        <v>15</v>
      </c>
      <c r="B697" t="s">
        <v>16</v>
      </c>
      <c r="C697" t="s">
        <v>36</v>
      </c>
      <c r="D697" t="s">
        <v>2242</v>
      </c>
      <c r="E697" t="s">
        <v>2243</v>
      </c>
      <c r="F697" t="s">
        <v>2244</v>
      </c>
      <c r="G697" t="s">
        <v>90</v>
      </c>
      <c r="H697" t="s">
        <v>41</v>
      </c>
      <c r="I697" t="s">
        <v>58</v>
      </c>
      <c r="J697" s="1">
        <v>2270</v>
      </c>
      <c r="K697" t="s">
        <v>2245</v>
      </c>
      <c r="L697" t="s">
        <v>2246</v>
      </c>
      <c r="M697" t="s">
        <v>60</v>
      </c>
      <c r="N697">
        <v>18</v>
      </c>
      <c r="O697">
        <v>209476</v>
      </c>
    </row>
    <row r="698" spans="1:15" x14ac:dyDescent="0.35">
      <c r="A698" t="s">
        <v>15</v>
      </c>
      <c r="B698" t="s">
        <v>69</v>
      </c>
      <c r="C698" t="s">
        <v>17</v>
      </c>
      <c r="D698" t="s">
        <v>1600</v>
      </c>
      <c r="E698" t="s">
        <v>2247</v>
      </c>
      <c r="F698" t="s">
        <v>30</v>
      </c>
      <c r="G698" t="s">
        <v>1236</v>
      </c>
      <c r="H698" t="s">
        <v>41</v>
      </c>
      <c r="I698" t="s">
        <v>58</v>
      </c>
      <c r="J698" s="1">
        <v>263590</v>
      </c>
      <c r="K698" t="s">
        <v>901</v>
      </c>
      <c r="L698" t="s">
        <v>2248</v>
      </c>
      <c r="M698" t="s">
        <v>1604</v>
      </c>
      <c r="N698">
        <v>15</v>
      </c>
      <c r="O698">
        <v>32159</v>
      </c>
    </row>
    <row r="699" spans="1:15" x14ac:dyDescent="0.35">
      <c r="A699" t="s">
        <v>75</v>
      </c>
      <c r="B699" t="s">
        <v>27</v>
      </c>
      <c r="C699" t="s">
        <v>36</v>
      </c>
      <c r="D699" t="s">
        <v>601</v>
      </c>
      <c r="E699" t="s">
        <v>2249</v>
      </c>
      <c r="F699" t="s">
        <v>39</v>
      </c>
      <c r="G699" t="s">
        <v>65</v>
      </c>
      <c r="H699" t="s">
        <v>57</v>
      </c>
      <c r="I699" t="s">
        <v>23</v>
      </c>
      <c r="J699" s="1">
        <v>290790</v>
      </c>
      <c r="K699" t="s">
        <v>2250</v>
      </c>
      <c r="L699" t="s">
        <v>2251</v>
      </c>
      <c r="M699" t="s">
        <v>2252</v>
      </c>
      <c r="O699">
        <v>200933</v>
      </c>
    </row>
    <row r="700" spans="1:15" x14ac:dyDescent="0.35">
      <c r="A700" t="s">
        <v>15</v>
      </c>
      <c r="B700" t="s">
        <v>16</v>
      </c>
      <c r="C700" t="s">
        <v>61</v>
      </c>
      <c r="D700" t="s">
        <v>1531</v>
      </c>
      <c r="E700" t="s">
        <v>248</v>
      </c>
      <c r="F700" t="s">
        <v>125</v>
      </c>
      <c r="G700" t="s">
        <v>412</v>
      </c>
      <c r="H700" t="s">
        <v>41</v>
      </c>
      <c r="I700" t="s">
        <v>23</v>
      </c>
      <c r="J700" s="1">
        <v>17040</v>
      </c>
      <c r="K700" t="s">
        <v>2067</v>
      </c>
      <c r="L700" t="s">
        <v>2253</v>
      </c>
      <c r="M700" t="s">
        <v>2254</v>
      </c>
      <c r="N700">
        <v>14</v>
      </c>
      <c r="O700">
        <v>168966</v>
      </c>
    </row>
    <row r="701" spans="1:15" x14ac:dyDescent="0.35">
      <c r="A701" t="s">
        <v>15</v>
      </c>
      <c r="B701" t="s">
        <v>16</v>
      </c>
      <c r="C701" t="s">
        <v>61</v>
      </c>
      <c r="D701" t="s">
        <v>1871</v>
      </c>
      <c r="E701" t="s">
        <v>2255</v>
      </c>
      <c r="F701" t="s">
        <v>441</v>
      </c>
      <c r="G701" t="s">
        <v>249</v>
      </c>
      <c r="H701" t="s">
        <v>41</v>
      </c>
      <c r="I701" t="s">
        <v>58</v>
      </c>
      <c r="J701">
        <v>950</v>
      </c>
      <c r="K701" t="s">
        <v>58</v>
      </c>
      <c r="L701" t="s">
        <v>2256</v>
      </c>
      <c r="M701" t="s">
        <v>2257</v>
      </c>
      <c r="N701">
        <v>10</v>
      </c>
      <c r="O701">
        <v>2283322</v>
      </c>
    </row>
    <row r="702" spans="1:15" x14ac:dyDescent="0.35">
      <c r="A702" t="s">
        <v>2258</v>
      </c>
      <c r="B702" t="s">
        <v>16</v>
      </c>
      <c r="C702" t="s">
        <v>36</v>
      </c>
      <c r="D702" t="s">
        <v>371</v>
      </c>
      <c r="E702" t="s">
        <v>2259</v>
      </c>
      <c r="F702" t="s">
        <v>341</v>
      </c>
      <c r="G702" t="s">
        <v>204</v>
      </c>
      <c r="H702" t="s">
        <v>22</v>
      </c>
      <c r="I702" t="s">
        <v>23</v>
      </c>
      <c r="J702" s="1">
        <v>865456</v>
      </c>
      <c r="K702" t="s">
        <v>2260</v>
      </c>
      <c r="L702" t="s">
        <v>2261</v>
      </c>
      <c r="M702" t="s">
        <v>2262</v>
      </c>
      <c r="N702">
        <v>2</v>
      </c>
      <c r="O702">
        <v>168515.5</v>
      </c>
    </row>
    <row r="703" spans="1:15" x14ac:dyDescent="0.35">
      <c r="A703" t="s">
        <v>15</v>
      </c>
      <c r="B703" t="s">
        <v>27</v>
      </c>
      <c r="C703" t="s">
        <v>36</v>
      </c>
      <c r="D703" t="s">
        <v>664</v>
      </c>
      <c r="E703" t="s">
        <v>77</v>
      </c>
      <c r="F703" t="s">
        <v>1149</v>
      </c>
      <c r="G703" t="s">
        <v>79</v>
      </c>
      <c r="H703" t="s">
        <v>41</v>
      </c>
      <c r="I703" t="s">
        <v>23</v>
      </c>
      <c r="J703" s="1">
        <v>94590</v>
      </c>
      <c r="K703" t="s">
        <v>666</v>
      </c>
      <c r="L703" t="s">
        <v>2263</v>
      </c>
      <c r="M703" t="s">
        <v>81</v>
      </c>
      <c r="N703">
        <v>18</v>
      </c>
      <c r="O703">
        <v>258933.5</v>
      </c>
    </row>
    <row r="704" spans="1:15" x14ac:dyDescent="0.35">
      <c r="A704" t="s">
        <v>15</v>
      </c>
      <c r="B704" t="s">
        <v>99</v>
      </c>
      <c r="C704" t="s">
        <v>82</v>
      </c>
      <c r="D704" t="s">
        <v>962</v>
      </c>
      <c r="E704" t="s">
        <v>2264</v>
      </c>
      <c r="F704" t="s">
        <v>125</v>
      </c>
      <c r="G704" t="s">
        <v>964</v>
      </c>
      <c r="H704" t="s">
        <v>41</v>
      </c>
      <c r="I704" t="s">
        <v>61</v>
      </c>
      <c r="J704" t="s">
        <v>58</v>
      </c>
      <c r="K704" t="s">
        <v>965</v>
      </c>
      <c r="L704" t="s">
        <v>1002</v>
      </c>
      <c r="M704" t="s">
        <v>110</v>
      </c>
      <c r="N704">
        <v>14</v>
      </c>
      <c r="O704">
        <v>25214</v>
      </c>
    </row>
    <row r="705" spans="1:15" x14ac:dyDescent="0.35">
      <c r="A705" t="s">
        <v>15</v>
      </c>
      <c r="B705" t="s">
        <v>16</v>
      </c>
      <c r="C705" t="s">
        <v>17</v>
      </c>
      <c r="D705" t="s">
        <v>45</v>
      </c>
      <c r="E705" t="s">
        <v>1223</v>
      </c>
      <c r="F705" t="s">
        <v>244</v>
      </c>
      <c r="G705" t="s">
        <v>48</v>
      </c>
      <c r="H705" t="s">
        <v>41</v>
      </c>
      <c r="I705" t="s">
        <v>23</v>
      </c>
      <c r="J705" s="1">
        <v>34630</v>
      </c>
      <c r="K705" t="s">
        <v>2265</v>
      </c>
      <c r="L705" t="s">
        <v>2266</v>
      </c>
      <c r="M705" t="s">
        <v>241</v>
      </c>
      <c r="N705">
        <v>2</v>
      </c>
      <c r="O705">
        <v>153603.5</v>
      </c>
    </row>
    <row r="706" spans="1:15" x14ac:dyDescent="0.35">
      <c r="A706" t="s">
        <v>15</v>
      </c>
      <c r="B706" t="s">
        <v>16</v>
      </c>
      <c r="C706" t="s">
        <v>17</v>
      </c>
      <c r="D706" t="s">
        <v>1918</v>
      </c>
      <c r="E706" t="s">
        <v>2267</v>
      </c>
      <c r="F706" t="s">
        <v>196</v>
      </c>
      <c r="G706" t="s">
        <v>921</v>
      </c>
      <c r="H706" t="s">
        <v>41</v>
      </c>
      <c r="I706" t="s">
        <v>23</v>
      </c>
      <c r="J706" s="1">
        <v>27040</v>
      </c>
      <c r="K706" t="s">
        <v>23</v>
      </c>
      <c r="L706" t="s">
        <v>2268</v>
      </c>
      <c r="M706" t="s">
        <v>2149</v>
      </c>
      <c r="N706">
        <v>7</v>
      </c>
      <c r="O706">
        <v>147959.5</v>
      </c>
    </row>
    <row r="707" spans="1:15" x14ac:dyDescent="0.35">
      <c r="A707" t="s">
        <v>75</v>
      </c>
      <c r="B707" t="s">
        <v>69</v>
      </c>
      <c r="C707" t="s">
        <v>61</v>
      </c>
      <c r="D707" t="s">
        <v>1802</v>
      </c>
      <c r="E707" t="s">
        <v>128</v>
      </c>
      <c r="F707" t="s">
        <v>20</v>
      </c>
      <c r="G707" t="s">
        <v>1803</v>
      </c>
      <c r="H707" t="s">
        <v>41</v>
      </c>
      <c r="I707" t="s">
        <v>23</v>
      </c>
      <c r="J707" s="1">
        <v>492225</v>
      </c>
      <c r="K707" t="s">
        <v>1804</v>
      </c>
      <c r="L707" t="s">
        <v>1964</v>
      </c>
      <c r="M707" t="s">
        <v>81</v>
      </c>
      <c r="N707">
        <v>17</v>
      </c>
      <c r="O707">
        <v>18354.5</v>
      </c>
    </row>
    <row r="708" spans="1:15" x14ac:dyDescent="0.35">
      <c r="A708" t="s">
        <v>15</v>
      </c>
      <c r="B708" t="s">
        <v>27</v>
      </c>
      <c r="C708" t="s">
        <v>61</v>
      </c>
      <c r="D708" t="s">
        <v>1914</v>
      </c>
      <c r="E708" t="s">
        <v>128</v>
      </c>
      <c r="F708" t="s">
        <v>196</v>
      </c>
      <c r="G708" t="s">
        <v>946</v>
      </c>
      <c r="H708" t="s">
        <v>22</v>
      </c>
      <c r="I708" t="s">
        <v>23</v>
      </c>
      <c r="J708" s="1">
        <v>409030</v>
      </c>
      <c r="K708" t="s">
        <v>2269</v>
      </c>
      <c r="L708" t="s">
        <v>1916</v>
      </c>
      <c r="M708" t="s">
        <v>2155</v>
      </c>
      <c r="N708">
        <v>7</v>
      </c>
      <c r="O708">
        <v>45081.5</v>
      </c>
    </row>
    <row r="709" spans="1:15" x14ac:dyDescent="0.35">
      <c r="A709" t="s">
        <v>15</v>
      </c>
      <c r="B709" t="s">
        <v>16</v>
      </c>
      <c r="C709" t="s">
        <v>36</v>
      </c>
      <c r="D709" t="s">
        <v>694</v>
      </c>
      <c r="E709" t="s">
        <v>2270</v>
      </c>
      <c r="F709" t="s">
        <v>196</v>
      </c>
      <c r="G709" t="s">
        <v>580</v>
      </c>
      <c r="H709" t="s">
        <v>41</v>
      </c>
      <c r="I709" t="s">
        <v>23</v>
      </c>
      <c r="J709" s="1">
        <v>26050</v>
      </c>
      <c r="K709" t="s">
        <v>2271</v>
      </c>
      <c r="L709" t="s">
        <v>1366</v>
      </c>
      <c r="M709" t="s">
        <v>81</v>
      </c>
      <c r="N709">
        <v>7</v>
      </c>
      <c r="O709">
        <v>114170</v>
      </c>
    </row>
    <row r="710" spans="1:15" x14ac:dyDescent="0.35">
      <c r="A710" t="s">
        <v>15</v>
      </c>
      <c r="B710" t="s">
        <v>16</v>
      </c>
      <c r="C710" t="s">
        <v>36</v>
      </c>
      <c r="D710" t="s">
        <v>831</v>
      </c>
      <c r="E710" t="s">
        <v>324</v>
      </c>
      <c r="F710" t="s">
        <v>39</v>
      </c>
      <c r="G710" t="s">
        <v>90</v>
      </c>
      <c r="H710" t="s">
        <v>41</v>
      </c>
      <c r="I710" t="s">
        <v>23</v>
      </c>
      <c r="J710" s="1">
        <v>65860</v>
      </c>
      <c r="K710" t="s">
        <v>2272</v>
      </c>
      <c r="L710" t="s">
        <v>2273</v>
      </c>
      <c r="M710" t="s">
        <v>2166</v>
      </c>
      <c r="O710">
        <v>217786.5</v>
      </c>
    </row>
    <row r="711" spans="1:15" x14ac:dyDescent="0.35">
      <c r="A711" t="s">
        <v>15</v>
      </c>
      <c r="B711" t="s">
        <v>16</v>
      </c>
      <c r="C711" t="s">
        <v>36</v>
      </c>
      <c r="D711" t="s">
        <v>1141</v>
      </c>
      <c r="E711" t="s">
        <v>1142</v>
      </c>
      <c r="F711" t="s">
        <v>312</v>
      </c>
      <c r="G711" t="s">
        <v>86</v>
      </c>
      <c r="H711" t="s">
        <v>57</v>
      </c>
      <c r="I711" t="s">
        <v>23</v>
      </c>
      <c r="J711" s="1">
        <v>3070</v>
      </c>
      <c r="K711" t="s">
        <v>23</v>
      </c>
      <c r="L711" t="s">
        <v>2274</v>
      </c>
      <c r="M711" t="s">
        <v>1404</v>
      </c>
      <c r="N711">
        <v>4</v>
      </c>
      <c r="O711">
        <v>141567</v>
      </c>
    </row>
    <row r="712" spans="1:15" x14ac:dyDescent="0.35">
      <c r="A712" t="s">
        <v>15</v>
      </c>
      <c r="B712" t="s">
        <v>16</v>
      </c>
      <c r="C712" t="s">
        <v>61</v>
      </c>
      <c r="D712" t="s">
        <v>2275</v>
      </c>
      <c r="E712" t="s">
        <v>128</v>
      </c>
      <c r="F712" t="s">
        <v>394</v>
      </c>
      <c r="G712" t="s">
        <v>2276</v>
      </c>
      <c r="H712" t="s">
        <v>41</v>
      </c>
      <c r="I712" t="s">
        <v>58</v>
      </c>
      <c r="J712">
        <v>590</v>
      </c>
      <c r="K712" t="s">
        <v>58</v>
      </c>
      <c r="L712" t="s">
        <v>2277</v>
      </c>
      <c r="M712" t="s">
        <v>2278</v>
      </c>
      <c r="N712">
        <v>11</v>
      </c>
      <c r="O712">
        <v>23243</v>
      </c>
    </row>
    <row r="713" spans="1:15" x14ac:dyDescent="0.35">
      <c r="A713" t="s">
        <v>15</v>
      </c>
      <c r="B713" t="s">
        <v>16</v>
      </c>
      <c r="C713" t="s">
        <v>36</v>
      </c>
      <c r="D713" t="s">
        <v>415</v>
      </c>
      <c r="E713" t="s">
        <v>2279</v>
      </c>
      <c r="F713" t="s">
        <v>39</v>
      </c>
      <c r="G713" t="s">
        <v>417</v>
      </c>
      <c r="H713" t="s">
        <v>41</v>
      </c>
      <c r="I713" t="s">
        <v>58</v>
      </c>
      <c r="J713" s="1">
        <v>21640</v>
      </c>
      <c r="K713" t="s">
        <v>58</v>
      </c>
      <c r="L713" t="s">
        <v>2280</v>
      </c>
      <c r="M713" t="s">
        <v>2281</v>
      </c>
      <c r="O713">
        <v>173539</v>
      </c>
    </row>
    <row r="714" spans="1:15" x14ac:dyDescent="0.35">
      <c r="A714" t="s">
        <v>15</v>
      </c>
      <c r="B714" t="s">
        <v>99</v>
      </c>
      <c r="C714" t="s">
        <v>61</v>
      </c>
      <c r="D714" t="s">
        <v>1672</v>
      </c>
      <c r="E714" t="s">
        <v>1673</v>
      </c>
      <c r="F714" t="s">
        <v>85</v>
      </c>
      <c r="G714" t="s">
        <v>498</v>
      </c>
      <c r="H714" t="s">
        <v>156</v>
      </c>
      <c r="I714" t="s">
        <v>23</v>
      </c>
      <c r="J714" s="1">
        <v>6190</v>
      </c>
      <c r="K714" t="s">
        <v>23</v>
      </c>
      <c r="L714" t="s">
        <v>2282</v>
      </c>
      <c r="M714" t="s">
        <v>475</v>
      </c>
      <c r="N714">
        <v>6</v>
      </c>
      <c r="O714">
        <v>125134.5</v>
      </c>
    </row>
    <row r="715" spans="1:15" x14ac:dyDescent="0.35">
      <c r="A715" t="s">
        <v>75</v>
      </c>
      <c r="B715" t="s">
        <v>99</v>
      </c>
      <c r="C715" t="s">
        <v>61</v>
      </c>
      <c r="D715" t="s">
        <v>1802</v>
      </c>
      <c r="E715" t="s">
        <v>128</v>
      </c>
      <c r="F715" t="s">
        <v>125</v>
      </c>
      <c r="G715" t="s">
        <v>1803</v>
      </c>
      <c r="H715" t="s">
        <v>41</v>
      </c>
      <c r="I715" t="s">
        <v>23</v>
      </c>
      <c r="J715" s="1">
        <v>492255</v>
      </c>
      <c r="K715" t="s">
        <v>2283</v>
      </c>
      <c r="L715" t="s">
        <v>1964</v>
      </c>
      <c r="M715" t="s">
        <v>2284</v>
      </c>
      <c r="N715">
        <v>14</v>
      </c>
      <c r="O715">
        <v>18354.5</v>
      </c>
    </row>
    <row r="716" spans="1:15" x14ac:dyDescent="0.35">
      <c r="A716" t="s">
        <v>15</v>
      </c>
      <c r="B716" t="s">
        <v>16</v>
      </c>
      <c r="C716" t="s">
        <v>36</v>
      </c>
      <c r="D716" t="s">
        <v>938</v>
      </c>
      <c r="E716" t="s">
        <v>54</v>
      </c>
      <c r="F716" t="s">
        <v>939</v>
      </c>
      <c r="G716" t="s">
        <v>90</v>
      </c>
      <c r="H716" t="s">
        <v>41</v>
      </c>
      <c r="I716" t="s">
        <v>58</v>
      </c>
      <c r="J716">
        <v>320</v>
      </c>
      <c r="K716" t="s">
        <v>58</v>
      </c>
      <c r="L716" t="s">
        <v>2285</v>
      </c>
      <c r="M716" t="s">
        <v>60</v>
      </c>
      <c r="N716">
        <v>4</v>
      </c>
      <c r="O716">
        <v>28127</v>
      </c>
    </row>
    <row r="717" spans="1:15" x14ac:dyDescent="0.35">
      <c r="A717" t="s">
        <v>15</v>
      </c>
      <c r="B717" t="s">
        <v>16</v>
      </c>
      <c r="C717" t="s">
        <v>36</v>
      </c>
      <c r="D717" t="s">
        <v>762</v>
      </c>
      <c r="E717" t="s">
        <v>763</v>
      </c>
      <c r="F717" t="s">
        <v>125</v>
      </c>
      <c r="G717" t="s">
        <v>764</v>
      </c>
      <c r="H717" t="s">
        <v>115</v>
      </c>
      <c r="I717" t="s">
        <v>23</v>
      </c>
      <c r="J717" s="1">
        <v>37950</v>
      </c>
      <c r="K717" t="s">
        <v>23</v>
      </c>
      <c r="L717" t="s">
        <v>2286</v>
      </c>
      <c r="M717" t="s">
        <v>2012</v>
      </c>
      <c r="N717">
        <v>14</v>
      </c>
      <c r="O717">
        <v>80790.5</v>
      </c>
    </row>
    <row r="718" spans="1:15" x14ac:dyDescent="0.35">
      <c r="A718" t="s">
        <v>15</v>
      </c>
      <c r="B718" t="s">
        <v>16</v>
      </c>
      <c r="C718" t="s">
        <v>36</v>
      </c>
      <c r="D718" t="s">
        <v>664</v>
      </c>
      <c r="E718" t="s">
        <v>1091</v>
      </c>
      <c r="F718" t="s">
        <v>1149</v>
      </c>
      <c r="G718" t="s">
        <v>79</v>
      </c>
      <c r="H718" t="s">
        <v>41</v>
      </c>
      <c r="I718" t="s">
        <v>23</v>
      </c>
      <c r="J718" s="1">
        <v>94570</v>
      </c>
      <c r="K718" t="s">
        <v>2287</v>
      </c>
      <c r="L718" t="s">
        <v>2288</v>
      </c>
      <c r="M718" t="s">
        <v>118</v>
      </c>
      <c r="N718">
        <v>18</v>
      </c>
      <c r="O718">
        <v>159384</v>
      </c>
    </row>
    <row r="719" spans="1:15" x14ac:dyDescent="0.35">
      <c r="A719" t="s">
        <v>15</v>
      </c>
      <c r="B719" t="s">
        <v>16</v>
      </c>
      <c r="C719" t="s">
        <v>36</v>
      </c>
      <c r="D719" t="s">
        <v>664</v>
      </c>
      <c r="E719" t="s">
        <v>2289</v>
      </c>
      <c r="F719" t="s">
        <v>1149</v>
      </c>
      <c r="G719" t="s">
        <v>79</v>
      </c>
      <c r="H719" t="s">
        <v>41</v>
      </c>
      <c r="I719" t="s">
        <v>23</v>
      </c>
      <c r="J719" s="1">
        <v>94530</v>
      </c>
      <c r="K719" t="s">
        <v>2290</v>
      </c>
      <c r="L719" t="s">
        <v>2291</v>
      </c>
      <c r="M719" t="s">
        <v>118</v>
      </c>
      <c r="N719">
        <v>18</v>
      </c>
      <c r="O719">
        <v>159377</v>
      </c>
    </row>
    <row r="720" spans="1:15" x14ac:dyDescent="0.35">
      <c r="A720" t="s">
        <v>2258</v>
      </c>
      <c r="B720" t="s">
        <v>16</v>
      </c>
      <c r="C720" t="s">
        <v>36</v>
      </c>
      <c r="D720" t="s">
        <v>371</v>
      </c>
      <c r="E720" t="s">
        <v>268</v>
      </c>
      <c r="F720" t="s">
        <v>431</v>
      </c>
      <c r="G720" t="s">
        <v>204</v>
      </c>
      <c r="H720" t="s">
        <v>22</v>
      </c>
      <c r="I720" t="s">
        <v>23</v>
      </c>
      <c r="J720" s="1">
        <v>865456</v>
      </c>
      <c r="K720" t="s">
        <v>1510</v>
      </c>
      <c r="L720" t="s">
        <v>2292</v>
      </c>
      <c r="M720" t="s">
        <v>1526</v>
      </c>
      <c r="N720">
        <v>21</v>
      </c>
      <c r="O720">
        <v>164402.5</v>
      </c>
    </row>
    <row r="721" spans="1:15" x14ac:dyDescent="0.35">
      <c r="A721" t="s">
        <v>15</v>
      </c>
      <c r="B721" t="s">
        <v>16</v>
      </c>
      <c r="C721" t="s">
        <v>61</v>
      </c>
      <c r="D721" t="s">
        <v>525</v>
      </c>
      <c r="E721" t="s">
        <v>2293</v>
      </c>
      <c r="F721" t="s">
        <v>39</v>
      </c>
      <c r="G721" t="s">
        <v>527</v>
      </c>
      <c r="H721" t="s">
        <v>41</v>
      </c>
      <c r="I721" t="s">
        <v>23</v>
      </c>
      <c r="J721" s="1">
        <v>40060</v>
      </c>
      <c r="K721" t="s">
        <v>2294</v>
      </c>
      <c r="L721" t="s">
        <v>2295</v>
      </c>
      <c r="M721" t="s">
        <v>2296</v>
      </c>
      <c r="O721">
        <v>46261</v>
      </c>
    </row>
    <row r="722" spans="1:15" x14ac:dyDescent="0.35">
      <c r="A722" t="s">
        <v>15</v>
      </c>
      <c r="B722" t="s">
        <v>16</v>
      </c>
      <c r="C722" t="s">
        <v>61</v>
      </c>
      <c r="D722" t="s">
        <v>371</v>
      </c>
      <c r="E722" t="s">
        <v>2297</v>
      </c>
      <c r="F722" t="s">
        <v>39</v>
      </c>
      <c r="G722" t="s">
        <v>204</v>
      </c>
      <c r="H722" t="s">
        <v>22</v>
      </c>
      <c r="I722" t="s">
        <v>23</v>
      </c>
      <c r="J722" s="1">
        <v>865446</v>
      </c>
      <c r="K722" t="s">
        <v>2177</v>
      </c>
      <c r="L722" t="s">
        <v>2298</v>
      </c>
      <c r="M722" t="s">
        <v>2299</v>
      </c>
      <c r="O722">
        <v>88962.5</v>
      </c>
    </row>
    <row r="723" spans="1:15" x14ac:dyDescent="0.35">
      <c r="A723" t="s">
        <v>15</v>
      </c>
      <c r="B723" t="s">
        <v>16</v>
      </c>
      <c r="C723" t="s">
        <v>36</v>
      </c>
      <c r="D723" t="s">
        <v>371</v>
      </c>
      <c r="E723" t="s">
        <v>63</v>
      </c>
      <c r="F723" t="s">
        <v>39</v>
      </c>
      <c r="G723" t="s">
        <v>204</v>
      </c>
      <c r="H723" t="s">
        <v>22</v>
      </c>
      <c r="I723" t="s">
        <v>23</v>
      </c>
      <c r="J723" s="1">
        <v>865416</v>
      </c>
      <c r="K723" t="s">
        <v>2300</v>
      </c>
      <c r="L723" t="s">
        <v>1028</v>
      </c>
      <c r="M723" t="s">
        <v>2301</v>
      </c>
      <c r="O723">
        <v>155267.5</v>
      </c>
    </row>
    <row r="724" spans="1:15" x14ac:dyDescent="0.35">
      <c r="A724" t="s">
        <v>75</v>
      </c>
      <c r="B724" t="s">
        <v>16</v>
      </c>
      <c r="C724" t="s">
        <v>61</v>
      </c>
      <c r="D724" t="s">
        <v>703</v>
      </c>
      <c r="E724" t="s">
        <v>1663</v>
      </c>
      <c r="F724" t="s">
        <v>431</v>
      </c>
      <c r="G724" t="s">
        <v>169</v>
      </c>
      <c r="H724" t="s">
        <v>41</v>
      </c>
      <c r="I724" t="s">
        <v>23</v>
      </c>
      <c r="J724" s="1">
        <v>261050</v>
      </c>
      <c r="K724" t="s">
        <v>1664</v>
      </c>
      <c r="L724" t="s">
        <v>2302</v>
      </c>
      <c r="M724" t="s">
        <v>2303</v>
      </c>
      <c r="N724">
        <v>21</v>
      </c>
      <c r="O724">
        <v>9584</v>
      </c>
    </row>
    <row r="725" spans="1:15" x14ac:dyDescent="0.35">
      <c r="A725" t="s">
        <v>75</v>
      </c>
      <c r="B725" t="s">
        <v>16</v>
      </c>
      <c r="C725" t="s">
        <v>36</v>
      </c>
      <c r="D725" t="s">
        <v>1646</v>
      </c>
      <c r="E725" t="s">
        <v>128</v>
      </c>
      <c r="F725" t="s">
        <v>441</v>
      </c>
      <c r="G725" t="s">
        <v>1648</v>
      </c>
      <c r="H725" t="s">
        <v>41</v>
      </c>
      <c r="I725" t="s">
        <v>23</v>
      </c>
      <c r="J725" s="1">
        <v>117790</v>
      </c>
      <c r="K725" t="s">
        <v>2304</v>
      </c>
      <c r="L725" t="s">
        <v>2305</v>
      </c>
      <c r="M725" t="s">
        <v>2306</v>
      </c>
      <c r="N725">
        <v>10</v>
      </c>
      <c r="O725">
        <v>19599</v>
      </c>
    </row>
    <row r="726" spans="1:15" x14ac:dyDescent="0.35">
      <c r="A726" t="s">
        <v>15</v>
      </c>
      <c r="B726" t="s">
        <v>16</v>
      </c>
      <c r="C726" t="s">
        <v>17</v>
      </c>
      <c r="D726" t="s">
        <v>1807</v>
      </c>
      <c r="E726" t="s">
        <v>1808</v>
      </c>
      <c r="F726" t="s">
        <v>125</v>
      </c>
      <c r="G726" t="s">
        <v>1809</v>
      </c>
      <c r="H726" t="s">
        <v>41</v>
      </c>
      <c r="I726" t="s">
        <v>23</v>
      </c>
      <c r="J726" s="1">
        <v>57270</v>
      </c>
      <c r="K726" t="s">
        <v>2307</v>
      </c>
      <c r="L726" t="s">
        <v>1811</v>
      </c>
      <c r="M726" t="s">
        <v>1812</v>
      </c>
      <c r="N726">
        <v>14</v>
      </c>
      <c r="O726">
        <v>105769</v>
      </c>
    </row>
    <row r="727" spans="1:15" x14ac:dyDescent="0.35">
      <c r="A727" t="s">
        <v>15</v>
      </c>
      <c r="B727" t="s">
        <v>16</v>
      </c>
      <c r="C727" t="s">
        <v>61</v>
      </c>
      <c r="D727" t="s">
        <v>1914</v>
      </c>
      <c r="E727" t="s">
        <v>128</v>
      </c>
      <c r="F727" t="s">
        <v>431</v>
      </c>
      <c r="G727" t="s">
        <v>946</v>
      </c>
      <c r="H727" t="s">
        <v>22</v>
      </c>
      <c r="I727" t="s">
        <v>23</v>
      </c>
      <c r="J727" s="1">
        <v>409070</v>
      </c>
      <c r="K727" t="s">
        <v>1915</v>
      </c>
      <c r="L727" t="s">
        <v>2308</v>
      </c>
      <c r="M727" t="s">
        <v>2309</v>
      </c>
      <c r="N727">
        <v>21</v>
      </c>
      <c r="O727">
        <v>45082.5</v>
      </c>
    </row>
    <row r="728" spans="1:15" x14ac:dyDescent="0.35">
      <c r="A728" t="s">
        <v>15</v>
      </c>
      <c r="B728" t="s">
        <v>27</v>
      </c>
      <c r="C728" t="s">
        <v>36</v>
      </c>
      <c r="D728" t="s">
        <v>920</v>
      </c>
      <c r="E728" t="s">
        <v>618</v>
      </c>
      <c r="F728" t="s">
        <v>431</v>
      </c>
      <c r="G728" t="s">
        <v>921</v>
      </c>
      <c r="H728" t="s">
        <v>22</v>
      </c>
      <c r="I728" t="s">
        <v>23</v>
      </c>
      <c r="J728" s="1">
        <v>55150</v>
      </c>
      <c r="K728" t="s">
        <v>2310</v>
      </c>
      <c r="L728" t="s">
        <v>2311</v>
      </c>
      <c r="M728" t="s">
        <v>2043</v>
      </c>
      <c r="N728">
        <v>21</v>
      </c>
      <c r="O728">
        <v>281445</v>
      </c>
    </row>
    <row r="729" spans="1:15" x14ac:dyDescent="0.35">
      <c r="A729" t="s">
        <v>15</v>
      </c>
      <c r="B729" t="s">
        <v>69</v>
      </c>
      <c r="C729" t="s">
        <v>17</v>
      </c>
      <c r="D729" t="s">
        <v>45</v>
      </c>
      <c r="E729" t="s">
        <v>2312</v>
      </c>
      <c r="F729" t="s">
        <v>39</v>
      </c>
      <c r="G729" t="s">
        <v>48</v>
      </c>
      <c r="H729" t="s">
        <v>41</v>
      </c>
      <c r="I729" t="s">
        <v>23</v>
      </c>
      <c r="J729" s="1">
        <v>34690</v>
      </c>
      <c r="K729" t="s">
        <v>49</v>
      </c>
      <c r="L729" t="s">
        <v>2313</v>
      </c>
      <c r="M729" t="s">
        <v>2314</v>
      </c>
      <c r="O729">
        <v>153606.5</v>
      </c>
    </row>
    <row r="730" spans="1:15" x14ac:dyDescent="0.35">
      <c r="A730" t="s">
        <v>15</v>
      </c>
      <c r="B730" t="s">
        <v>99</v>
      </c>
      <c r="C730" t="s">
        <v>17</v>
      </c>
      <c r="D730" t="s">
        <v>1918</v>
      </c>
      <c r="E730" t="s">
        <v>1808</v>
      </c>
      <c r="F730" t="s">
        <v>125</v>
      </c>
      <c r="G730" t="s">
        <v>921</v>
      </c>
      <c r="H730" t="s">
        <v>41</v>
      </c>
      <c r="I730" t="s">
        <v>23</v>
      </c>
      <c r="J730" s="1">
        <v>27040</v>
      </c>
      <c r="K730" t="s">
        <v>23</v>
      </c>
      <c r="L730" t="s">
        <v>2129</v>
      </c>
      <c r="M730" t="s">
        <v>110</v>
      </c>
      <c r="N730">
        <v>14</v>
      </c>
      <c r="O730">
        <v>115815.5</v>
      </c>
    </row>
    <row r="731" spans="1:15" x14ac:dyDescent="0.35">
      <c r="A731" t="s">
        <v>15</v>
      </c>
      <c r="B731" t="s">
        <v>16</v>
      </c>
      <c r="C731" t="s">
        <v>36</v>
      </c>
      <c r="D731" t="s">
        <v>2315</v>
      </c>
      <c r="E731" t="s">
        <v>161</v>
      </c>
      <c r="F731" t="s">
        <v>125</v>
      </c>
      <c r="G731" t="s">
        <v>229</v>
      </c>
      <c r="H731" t="s">
        <v>32</v>
      </c>
      <c r="I731" t="s">
        <v>23</v>
      </c>
      <c r="J731" s="1">
        <v>18900</v>
      </c>
      <c r="K731" t="s">
        <v>23</v>
      </c>
      <c r="L731" t="s">
        <v>2316</v>
      </c>
      <c r="M731" t="s">
        <v>2317</v>
      </c>
      <c r="N731">
        <v>14</v>
      </c>
      <c r="O731">
        <v>103072.5</v>
      </c>
    </row>
    <row r="732" spans="1:15" x14ac:dyDescent="0.35">
      <c r="A732" t="s">
        <v>15</v>
      </c>
      <c r="B732" t="s">
        <v>27</v>
      </c>
      <c r="C732" t="s">
        <v>36</v>
      </c>
      <c r="D732" t="s">
        <v>601</v>
      </c>
      <c r="E732" t="s">
        <v>2318</v>
      </c>
      <c r="F732" t="s">
        <v>39</v>
      </c>
      <c r="G732" t="s">
        <v>65</v>
      </c>
      <c r="H732" t="s">
        <v>57</v>
      </c>
      <c r="I732" t="s">
        <v>23</v>
      </c>
      <c r="J732" s="1">
        <v>290750</v>
      </c>
      <c r="K732" t="s">
        <v>603</v>
      </c>
      <c r="L732" t="s">
        <v>2319</v>
      </c>
      <c r="M732" t="s">
        <v>241</v>
      </c>
      <c r="O732">
        <v>155271</v>
      </c>
    </row>
    <row r="733" spans="1:15" x14ac:dyDescent="0.35">
      <c r="A733" t="s">
        <v>15</v>
      </c>
      <c r="B733" t="s">
        <v>16</v>
      </c>
      <c r="C733" t="s">
        <v>36</v>
      </c>
      <c r="D733" t="s">
        <v>1458</v>
      </c>
      <c r="E733" t="s">
        <v>54</v>
      </c>
      <c r="F733" t="s">
        <v>2320</v>
      </c>
      <c r="G733" t="s">
        <v>1459</v>
      </c>
      <c r="H733" t="s">
        <v>41</v>
      </c>
      <c r="I733" t="s">
        <v>23</v>
      </c>
      <c r="J733" s="1">
        <v>2270</v>
      </c>
      <c r="K733" t="s">
        <v>23</v>
      </c>
      <c r="L733" t="s">
        <v>2321</v>
      </c>
      <c r="M733" t="s">
        <v>60</v>
      </c>
      <c r="N733">
        <v>20</v>
      </c>
      <c r="O733">
        <v>133532</v>
      </c>
    </row>
    <row r="734" spans="1:15" x14ac:dyDescent="0.35">
      <c r="A734" t="s">
        <v>15</v>
      </c>
      <c r="B734" t="s">
        <v>27</v>
      </c>
      <c r="C734" t="s">
        <v>61</v>
      </c>
      <c r="D734" t="s">
        <v>655</v>
      </c>
      <c r="E734" t="s">
        <v>2322</v>
      </c>
      <c r="F734" t="s">
        <v>125</v>
      </c>
      <c r="G734" t="s">
        <v>656</v>
      </c>
      <c r="H734" t="s">
        <v>115</v>
      </c>
      <c r="I734" t="s">
        <v>23</v>
      </c>
      <c r="J734" s="1">
        <v>300020</v>
      </c>
      <c r="K734" t="s">
        <v>2323</v>
      </c>
      <c r="L734" t="s">
        <v>2189</v>
      </c>
      <c r="M734" t="s">
        <v>51</v>
      </c>
      <c r="N734">
        <v>14</v>
      </c>
      <c r="O734">
        <v>197555</v>
      </c>
    </row>
    <row r="735" spans="1:15" x14ac:dyDescent="0.35">
      <c r="A735" t="s">
        <v>15</v>
      </c>
      <c r="B735" t="s">
        <v>99</v>
      </c>
      <c r="C735" t="s">
        <v>36</v>
      </c>
      <c r="D735" t="s">
        <v>762</v>
      </c>
      <c r="E735" t="s">
        <v>2230</v>
      </c>
      <c r="F735" t="s">
        <v>85</v>
      </c>
      <c r="G735" t="s">
        <v>764</v>
      </c>
      <c r="H735" t="s">
        <v>115</v>
      </c>
      <c r="I735" t="s">
        <v>23</v>
      </c>
      <c r="J735" s="1">
        <v>37940</v>
      </c>
      <c r="K735" t="s">
        <v>23</v>
      </c>
      <c r="L735" t="s">
        <v>2324</v>
      </c>
      <c r="M735" t="s">
        <v>897</v>
      </c>
      <c r="N735">
        <v>6</v>
      </c>
      <c r="O735">
        <v>18195</v>
      </c>
    </row>
    <row r="736" spans="1:15" x14ac:dyDescent="0.35">
      <c r="A736" t="s">
        <v>15</v>
      </c>
      <c r="B736" t="s">
        <v>16</v>
      </c>
      <c r="C736" t="s">
        <v>61</v>
      </c>
      <c r="D736" t="s">
        <v>609</v>
      </c>
      <c r="E736" t="s">
        <v>2325</v>
      </c>
      <c r="F736" t="s">
        <v>39</v>
      </c>
      <c r="G736" t="s">
        <v>610</v>
      </c>
      <c r="H736" t="s">
        <v>115</v>
      </c>
      <c r="I736" t="s">
        <v>58</v>
      </c>
      <c r="J736" s="1">
        <v>76060</v>
      </c>
      <c r="K736" t="s">
        <v>58</v>
      </c>
      <c r="L736" t="s">
        <v>2326</v>
      </c>
      <c r="M736" t="s">
        <v>2327</v>
      </c>
      <c r="O736">
        <v>78274</v>
      </c>
    </row>
    <row r="737" spans="1:15" x14ac:dyDescent="0.35">
      <c r="A737" t="s">
        <v>75</v>
      </c>
      <c r="B737" t="s">
        <v>16</v>
      </c>
      <c r="C737" t="s">
        <v>61</v>
      </c>
      <c r="D737" t="s">
        <v>1802</v>
      </c>
      <c r="E737" t="s">
        <v>128</v>
      </c>
      <c r="F737" t="s">
        <v>125</v>
      </c>
      <c r="G737" t="s">
        <v>1803</v>
      </c>
      <c r="H737" t="s">
        <v>41</v>
      </c>
      <c r="I737" t="s">
        <v>23</v>
      </c>
      <c r="J737" s="1">
        <v>492225</v>
      </c>
      <c r="K737" t="s">
        <v>1804</v>
      </c>
      <c r="L737" t="s">
        <v>2219</v>
      </c>
      <c r="M737" t="s">
        <v>2284</v>
      </c>
      <c r="N737">
        <v>14</v>
      </c>
      <c r="O737">
        <v>18355.5</v>
      </c>
    </row>
    <row r="738" spans="1:15" x14ac:dyDescent="0.35">
      <c r="A738" t="s">
        <v>15</v>
      </c>
      <c r="B738" t="s">
        <v>16</v>
      </c>
      <c r="C738" t="s">
        <v>36</v>
      </c>
      <c r="D738" t="s">
        <v>750</v>
      </c>
      <c r="E738" t="s">
        <v>1743</v>
      </c>
      <c r="F738" t="s">
        <v>341</v>
      </c>
      <c r="G738" t="s">
        <v>752</v>
      </c>
      <c r="H738" t="s">
        <v>41</v>
      </c>
      <c r="I738" t="s">
        <v>23</v>
      </c>
      <c r="J738" s="1">
        <v>20010</v>
      </c>
      <c r="K738" t="s">
        <v>23</v>
      </c>
      <c r="L738" t="s">
        <v>2328</v>
      </c>
      <c r="M738" t="s">
        <v>206</v>
      </c>
      <c r="N738">
        <v>2</v>
      </c>
      <c r="O738">
        <v>96174</v>
      </c>
    </row>
    <row r="739" spans="1:15" x14ac:dyDescent="0.35">
      <c r="A739" t="s">
        <v>15</v>
      </c>
      <c r="B739" t="s">
        <v>16</v>
      </c>
      <c r="C739" t="s">
        <v>61</v>
      </c>
      <c r="D739" t="s">
        <v>1399</v>
      </c>
      <c r="E739" t="s">
        <v>2329</v>
      </c>
      <c r="F739" t="s">
        <v>85</v>
      </c>
      <c r="G739" t="s">
        <v>65</v>
      </c>
      <c r="H739" t="s">
        <v>41</v>
      </c>
      <c r="I739" t="s">
        <v>23</v>
      </c>
      <c r="J739" s="1">
        <v>26640</v>
      </c>
      <c r="K739" t="s">
        <v>23</v>
      </c>
      <c r="L739" t="s">
        <v>2330</v>
      </c>
      <c r="M739" t="s">
        <v>2331</v>
      </c>
      <c r="N739">
        <v>6</v>
      </c>
      <c r="O739">
        <v>18678</v>
      </c>
    </row>
    <row r="740" spans="1:15" x14ac:dyDescent="0.35">
      <c r="A740" t="s">
        <v>15</v>
      </c>
      <c r="B740" t="s">
        <v>27</v>
      </c>
      <c r="C740" t="s">
        <v>61</v>
      </c>
      <c r="D740" t="s">
        <v>2275</v>
      </c>
      <c r="E740" t="s">
        <v>128</v>
      </c>
      <c r="F740" t="s">
        <v>196</v>
      </c>
      <c r="G740" t="s">
        <v>2276</v>
      </c>
      <c r="H740" t="s">
        <v>41</v>
      </c>
      <c r="I740" t="s">
        <v>58</v>
      </c>
      <c r="J740">
        <v>590</v>
      </c>
      <c r="K740" t="s">
        <v>58</v>
      </c>
      <c r="L740" t="s">
        <v>2332</v>
      </c>
      <c r="M740" t="s">
        <v>2333</v>
      </c>
      <c r="N740">
        <v>7</v>
      </c>
      <c r="O740">
        <v>23240</v>
      </c>
    </row>
    <row r="741" spans="1:15" x14ac:dyDescent="0.35">
      <c r="A741" t="s">
        <v>15</v>
      </c>
      <c r="B741" t="s">
        <v>69</v>
      </c>
      <c r="C741" t="s">
        <v>17</v>
      </c>
      <c r="D741" t="s">
        <v>1068</v>
      </c>
      <c r="E741" t="s">
        <v>2334</v>
      </c>
      <c r="F741" t="s">
        <v>125</v>
      </c>
      <c r="G741" t="s">
        <v>594</v>
      </c>
      <c r="H741" t="s">
        <v>57</v>
      </c>
      <c r="I741" t="s">
        <v>23</v>
      </c>
      <c r="J741" s="1">
        <v>29530</v>
      </c>
      <c r="K741" t="s">
        <v>23</v>
      </c>
      <c r="L741" t="s">
        <v>2335</v>
      </c>
      <c r="M741" t="s">
        <v>189</v>
      </c>
      <c r="N741">
        <v>14</v>
      </c>
      <c r="O741">
        <v>73455</v>
      </c>
    </row>
    <row r="742" spans="1:15" x14ac:dyDescent="0.35">
      <c r="A742" t="s">
        <v>75</v>
      </c>
      <c r="B742" t="s">
        <v>16</v>
      </c>
      <c r="C742" t="s">
        <v>17</v>
      </c>
      <c r="D742" t="s">
        <v>579</v>
      </c>
      <c r="E742" t="s">
        <v>1656</v>
      </c>
      <c r="F742" t="s">
        <v>39</v>
      </c>
      <c r="G742" t="s">
        <v>580</v>
      </c>
      <c r="H742" t="s">
        <v>41</v>
      </c>
      <c r="I742" t="s">
        <v>23</v>
      </c>
      <c r="J742" s="1">
        <v>27390</v>
      </c>
      <c r="K742" t="s">
        <v>23</v>
      </c>
      <c r="L742" t="s">
        <v>2336</v>
      </c>
      <c r="M742" t="s">
        <v>435</v>
      </c>
      <c r="O742">
        <v>161690</v>
      </c>
    </row>
    <row r="743" spans="1:15" x14ac:dyDescent="0.35">
      <c r="A743" t="s">
        <v>15</v>
      </c>
      <c r="B743" t="s">
        <v>16</v>
      </c>
      <c r="C743" t="s">
        <v>61</v>
      </c>
      <c r="D743" t="s">
        <v>550</v>
      </c>
      <c r="E743" t="s">
        <v>1814</v>
      </c>
      <c r="F743" t="s">
        <v>39</v>
      </c>
      <c r="G743" t="s">
        <v>65</v>
      </c>
      <c r="H743" t="s">
        <v>41</v>
      </c>
      <c r="I743" t="s">
        <v>23</v>
      </c>
      <c r="J743" s="1">
        <v>10030</v>
      </c>
      <c r="K743" t="s">
        <v>23</v>
      </c>
      <c r="L743" t="s">
        <v>2337</v>
      </c>
      <c r="M743" t="s">
        <v>1816</v>
      </c>
      <c r="O743">
        <v>76372</v>
      </c>
    </row>
    <row r="744" spans="1:15" x14ac:dyDescent="0.35">
      <c r="A744" t="s">
        <v>75</v>
      </c>
      <c r="B744" t="s">
        <v>16</v>
      </c>
      <c r="C744" t="s">
        <v>61</v>
      </c>
      <c r="D744" t="s">
        <v>317</v>
      </c>
      <c r="E744" t="s">
        <v>318</v>
      </c>
      <c r="F744" t="s">
        <v>312</v>
      </c>
      <c r="G744" t="s">
        <v>319</v>
      </c>
      <c r="H744" t="s">
        <v>320</v>
      </c>
      <c r="I744" t="s">
        <v>58</v>
      </c>
      <c r="J744" s="1">
        <v>38120</v>
      </c>
      <c r="K744" t="s">
        <v>2338</v>
      </c>
      <c r="L744" t="s">
        <v>2339</v>
      </c>
      <c r="M744" t="s">
        <v>323</v>
      </c>
      <c r="N744">
        <v>4</v>
      </c>
      <c r="O744">
        <v>26752</v>
      </c>
    </row>
    <row r="745" spans="1:15" x14ac:dyDescent="0.35">
      <c r="A745" t="s">
        <v>15</v>
      </c>
      <c r="B745" t="s">
        <v>52</v>
      </c>
      <c r="C745" t="s">
        <v>36</v>
      </c>
      <c r="D745" t="s">
        <v>2340</v>
      </c>
      <c r="E745" t="s">
        <v>54</v>
      </c>
      <c r="F745" t="s">
        <v>399</v>
      </c>
      <c r="G745" t="s">
        <v>594</v>
      </c>
      <c r="H745" t="s">
        <v>41</v>
      </c>
      <c r="I745" t="s">
        <v>58</v>
      </c>
      <c r="J745">
        <v>600</v>
      </c>
      <c r="K745" t="s">
        <v>58</v>
      </c>
      <c r="L745" t="s">
        <v>2341</v>
      </c>
      <c r="M745" t="s">
        <v>60</v>
      </c>
      <c r="N745">
        <v>5</v>
      </c>
      <c r="O745">
        <v>112341</v>
      </c>
    </row>
    <row r="746" spans="1:15" x14ac:dyDescent="0.35">
      <c r="A746" t="s">
        <v>15</v>
      </c>
      <c r="B746" t="s">
        <v>16</v>
      </c>
      <c r="C746" t="s">
        <v>36</v>
      </c>
      <c r="D746" t="s">
        <v>1736</v>
      </c>
      <c r="E746" t="s">
        <v>2342</v>
      </c>
      <c r="F746" t="s">
        <v>125</v>
      </c>
      <c r="G746" t="s">
        <v>412</v>
      </c>
      <c r="H746" t="s">
        <v>41</v>
      </c>
      <c r="I746" t="s">
        <v>23</v>
      </c>
      <c r="J746" s="1">
        <v>258800</v>
      </c>
      <c r="K746" t="s">
        <v>2343</v>
      </c>
      <c r="L746" t="s">
        <v>2344</v>
      </c>
      <c r="M746" t="s">
        <v>51</v>
      </c>
      <c r="N746">
        <v>14</v>
      </c>
      <c r="O746">
        <v>222860.5</v>
      </c>
    </row>
    <row r="747" spans="1:15" x14ac:dyDescent="0.35">
      <c r="A747" t="s">
        <v>15</v>
      </c>
      <c r="B747" t="s">
        <v>27</v>
      </c>
      <c r="C747" t="s">
        <v>36</v>
      </c>
      <c r="D747" t="s">
        <v>920</v>
      </c>
      <c r="E747" t="s">
        <v>1304</v>
      </c>
      <c r="F747" t="s">
        <v>39</v>
      </c>
      <c r="G747" t="s">
        <v>921</v>
      </c>
      <c r="H747" t="s">
        <v>22</v>
      </c>
      <c r="I747" t="s">
        <v>23</v>
      </c>
      <c r="J747" s="1">
        <v>55140</v>
      </c>
      <c r="K747" t="s">
        <v>2345</v>
      </c>
      <c r="L747" t="s">
        <v>2346</v>
      </c>
      <c r="M747" t="s">
        <v>2347</v>
      </c>
      <c r="O747">
        <v>206324.5</v>
      </c>
    </row>
    <row r="748" spans="1:15" x14ac:dyDescent="0.35">
      <c r="A748" t="s">
        <v>15</v>
      </c>
      <c r="B748" t="s">
        <v>16</v>
      </c>
      <c r="C748" t="s">
        <v>17</v>
      </c>
      <c r="D748" t="s">
        <v>1918</v>
      </c>
      <c r="E748" t="s">
        <v>2348</v>
      </c>
      <c r="F748" t="s">
        <v>856</v>
      </c>
      <c r="G748" t="s">
        <v>921</v>
      </c>
      <c r="H748" t="s">
        <v>41</v>
      </c>
      <c r="I748" t="s">
        <v>23</v>
      </c>
      <c r="J748" s="1">
        <v>27070</v>
      </c>
      <c r="K748" t="s">
        <v>23</v>
      </c>
      <c r="L748" t="s">
        <v>2349</v>
      </c>
      <c r="M748" t="s">
        <v>200</v>
      </c>
      <c r="N748">
        <v>23</v>
      </c>
      <c r="O748">
        <v>147963.5</v>
      </c>
    </row>
    <row r="749" spans="1:15" x14ac:dyDescent="0.35">
      <c r="A749" t="s">
        <v>15</v>
      </c>
      <c r="B749" t="s">
        <v>16</v>
      </c>
      <c r="C749" t="s">
        <v>36</v>
      </c>
      <c r="D749" t="s">
        <v>18</v>
      </c>
      <c r="E749" t="s">
        <v>2049</v>
      </c>
      <c r="F749" t="s">
        <v>1149</v>
      </c>
      <c r="G749" t="s">
        <v>21</v>
      </c>
      <c r="H749" t="s">
        <v>22</v>
      </c>
      <c r="I749" t="s">
        <v>23</v>
      </c>
      <c r="J749" t="s">
        <v>24</v>
      </c>
      <c r="K749" t="s">
        <v>23</v>
      </c>
      <c r="L749" t="s">
        <v>2350</v>
      </c>
      <c r="M749" t="s">
        <v>2351</v>
      </c>
      <c r="N749">
        <v>18</v>
      </c>
      <c r="O749">
        <v>195914</v>
      </c>
    </row>
    <row r="750" spans="1:15" x14ac:dyDescent="0.35">
      <c r="A750" t="s">
        <v>15</v>
      </c>
      <c r="B750" t="s">
        <v>16</v>
      </c>
      <c r="C750" t="s">
        <v>61</v>
      </c>
      <c r="D750" t="s">
        <v>539</v>
      </c>
      <c r="E750" t="s">
        <v>128</v>
      </c>
      <c r="F750" t="s">
        <v>39</v>
      </c>
      <c r="G750" t="s">
        <v>86</v>
      </c>
      <c r="H750" t="s">
        <v>41</v>
      </c>
      <c r="I750" t="s">
        <v>23</v>
      </c>
      <c r="J750" s="1">
        <v>222500</v>
      </c>
      <c r="K750" t="s">
        <v>23</v>
      </c>
      <c r="L750" t="s">
        <v>2352</v>
      </c>
      <c r="M750" t="s">
        <v>2353</v>
      </c>
      <c r="O750">
        <v>17919</v>
      </c>
    </row>
    <row r="751" spans="1:15" x14ac:dyDescent="0.35">
      <c r="A751" t="s">
        <v>15</v>
      </c>
      <c r="B751" t="s">
        <v>16</v>
      </c>
      <c r="C751" t="s">
        <v>61</v>
      </c>
      <c r="D751" t="s">
        <v>371</v>
      </c>
      <c r="E751" t="s">
        <v>2354</v>
      </c>
      <c r="F751" t="s">
        <v>39</v>
      </c>
      <c r="G751" t="s">
        <v>204</v>
      </c>
      <c r="H751" t="s">
        <v>22</v>
      </c>
      <c r="I751" t="s">
        <v>23</v>
      </c>
      <c r="J751" s="1">
        <v>865476</v>
      </c>
      <c r="K751" t="s">
        <v>2300</v>
      </c>
      <c r="L751" t="s">
        <v>2355</v>
      </c>
      <c r="M751" t="s">
        <v>2299</v>
      </c>
      <c r="O751">
        <v>80404</v>
      </c>
    </row>
    <row r="752" spans="1:15" x14ac:dyDescent="0.35">
      <c r="A752" t="s">
        <v>15</v>
      </c>
      <c r="B752" t="s">
        <v>16</v>
      </c>
      <c r="C752" t="s">
        <v>17</v>
      </c>
      <c r="D752" t="s">
        <v>480</v>
      </c>
      <c r="E752" t="s">
        <v>481</v>
      </c>
      <c r="F752" t="s">
        <v>39</v>
      </c>
      <c r="G752" t="s">
        <v>482</v>
      </c>
      <c r="H752" t="s">
        <v>41</v>
      </c>
      <c r="I752" t="s">
        <v>58</v>
      </c>
      <c r="J752" s="1">
        <v>3790</v>
      </c>
      <c r="K752" t="s">
        <v>58</v>
      </c>
      <c r="L752" t="s">
        <v>2030</v>
      </c>
      <c r="M752" t="s">
        <v>2356</v>
      </c>
      <c r="O752">
        <v>61775</v>
      </c>
    </row>
    <row r="753" spans="1:15" x14ac:dyDescent="0.35">
      <c r="A753" t="s">
        <v>15</v>
      </c>
      <c r="B753" t="s">
        <v>16</v>
      </c>
      <c r="C753" t="s">
        <v>61</v>
      </c>
      <c r="D753" t="s">
        <v>2275</v>
      </c>
      <c r="E753" t="s">
        <v>128</v>
      </c>
      <c r="F753" t="s">
        <v>39</v>
      </c>
      <c r="G753" t="s">
        <v>2276</v>
      </c>
      <c r="H753" t="s">
        <v>41</v>
      </c>
      <c r="I753" t="s">
        <v>58</v>
      </c>
      <c r="J753">
        <v>590</v>
      </c>
      <c r="K753" t="s">
        <v>58</v>
      </c>
      <c r="L753" t="s">
        <v>2357</v>
      </c>
      <c r="M753" t="s">
        <v>2333</v>
      </c>
      <c r="O753">
        <v>23238</v>
      </c>
    </row>
    <row r="754" spans="1:15" x14ac:dyDescent="0.35">
      <c r="A754" t="s">
        <v>75</v>
      </c>
      <c r="B754" t="s">
        <v>27</v>
      </c>
      <c r="C754" t="s">
        <v>36</v>
      </c>
      <c r="D754" t="s">
        <v>601</v>
      </c>
      <c r="E754" t="s">
        <v>2358</v>
      </c>
      <c r="F754" t="s">
        <v>513</v>
      </c>
      <c r="G754" t="s">
        <v>65</v>
      </c>
      <c r="H754" t="s">
        <v>57</v>
      </c>
      <c r="I754" t="s">
        <v>23</v>
      </c>
      <c r="J754" s="1">
        <v>290760</v>
      </c>
      <c r="K754" t="s">
        <v>2359</v>
      </c>
      <c r="L754" t="s">
        <v>2360</v>
      </c>
      <c r="M754" t="s">
        <v>2252</v>
      </c>
      <c r="N754">
        <v>22</v>
      </c>
      <c r="O754">
        <v>196372</v>
      </c>
    </row>
    <row r="755" spans="1:15" x14ac:dyDescent="0.35">
      <c r="A755" t="s">
        <v>15</v>
      </c>
      <c r="B755" t="s">
        <v>16</v>
      </c>
      <c r="C755" t="s">
        <v>61</v>
      </c>
      <c r="D755" t="s">
        <v>1228</v>
      </c>
      <c r="E755" t="s">
        <v>1229</v>
      </c>
      <c r="F755" t="s">
        <v>196</v>
      </c>
      <c r="G755" t="s">
        <v>758</v>
      </c>
      <c r="H755" t="s">
        <v>41</v>
      </c>
      <c r="I755" t="s">
        <v>58</v>
      </c>
      <c r="J755" s="1">
        <v>10210</v>
      </c>
      <c r="K755" t="s">
        <v>58</v>
      </c>
      <c r="L755" t="s">
        <v>2361</v>
      </c>
      <c r="M755" t="s">
        <v>2362</v>
      </c>
      <c r="N755">
        <v>7</v>
      </c>
      <c r="O755">
        <v>65766</v>
      </c>
    </row>
    <row r="756" spans="1:15" x14ac:dyDescent="0.35">
      <c r="A756" t="s">
        <v>15</v>
      </c>
      <c r="B756" t="s">
        <v>16</v>
      </c>
      <c r="C756" t="s">
        <v>61</v>
      </c>
      <c r="D756" t="s">
        <v>445</v>
      </c>
      <c r="E756" t="s">
        <v>128</v>
      </c>
      <c r="F756" t="s">
        <v>237</v>
      </c>
      <c r="G756" t="s">
        <v>446</v>
      </c>
      <c r="H756" t="s">
        <v>41</v>
      </c>
      <c r="I756" t="s">
        <v>23</v>
      </c>
      <c r="J756" s="1">
        <v>524588</v>
      </c>
      <c r="K756" t="s">
        <v>2069</v>
      </c>
      <c r="L756" t="s">
        <v>2363</v>
      </c>
      <c r="M756" t="s">
        <v>1742</v>
      </c>
      <c r="N756">
        <v>20</v>
      </c>
      <c r="O756">
        <v>42872</v>
      </c>
    </row>
    <row r="757" spans="1:15" x14ac:dyDescent="0.35">
      <c r="A757" t="s">
        <v>15</v>
      </c>
      <c r="B757" t="s">
        <v>99</v>
      </c>
      <c r="C757" t="s">
        <v>17</v>
      </c>
      <c r="D757" t="s">
        <v>836</v>
      </c>
      <c r="E757" t="s">
        <v>2364</v>
      </c>
      <c r="F757" t="s">
        <v>125</v>
      </c>
      <c r="G757" t="s">
        <v>838</v>
      </c>
      <c r="H757" t="s">
        <v>41</v>
      </c>
      <c r="I757" t="s">
        <v>23</v>
      </c>
      <c r="J757" s="1">
        <v>132030</v>
      </c>
      <c r="K757" t="s">
        <v>2365</v>
      </c>
      <c r="L757" t="s">
        <v>2366</v>
      </c>
      <c r="M757" t="s">
        <v>60</v>
      </c>
      <c r="N757">
        <v>14</v>
      </c>
      <c r="O757">
        <v>115081</v>
      </c>
    </row>
    <row r="758" spans="1:15" x14ac:dyDescent="0.35">
      <c r="A758" t="s">
        <v>75</v>
      </c>
      <c r="B758" t="s">
        <v>99</v>
      </c>
      <c r="C758" t="s">
        <v>61</v>
      </c>
      <c r="D758" t="s">
        <v>1802</v>
      </c>
      <c r="E758" t="s">
        <v>128</v>
      </c>
      <c r="F758" t="s">
        <v>125</v>
      </c>
      <c r="G758" t="s">
        <v>1803</v>
      </c>
      <c r="H758" t="s">
        <v>41</v>
      </c>
      <c r="I758" t="s">
        <v>23</v>
      </c>
      <c r="J758" s="1">
        <v>492205</v>
      </c>
      <c r="K758" t="s">
        <v>2218</v>
      </c>
      <c r="L758" t="s">
        <v>2367</v>
      </c>
      <c r="M758" t="s">
        <v>659</v>
      </c>
      <c r="N758">
        <v>14</v>
      </c>
      <c r="O758">
        <v>18356.5</v>
      </c>
    </row>
    <row r="759" spans="1:15" x14ac:dyDescent="0.35">
      <c r="A759" t="s">
        <v>15</v>
      </c>
      <c r="B759" t="s">
        <v>52</v>
      </c>
      <c r="C759" t="s">
        <v>17</v>
      </c>
      <c r="D759" t="s">
        <v>1561</v>
      </c>
      <c r="E759" t="s">
        <v>1347</v>
      </c>
      <c r="F759" t="s">
        <v>244</v>
      </c>
      <c r="G759" t="s">
        <v>1563</v>
      </c>
      <c r="H759" t="s">
        <v>41</v>
      </c>
      <c r="I759" t="s">
        <v>58</v>
      </c>
      <c r="J759" s="1">
        <v>3560</v>
      </c>
      <c r="K759" t="s">
        <v>58</v>
      </c>
      <c r="L759" t="s">
        <v>2368</v>
      </c>
      <c r="M759" t="s">
        <v>60</v>
      </c>
      <c r="N759">
        <v>2</v>
      </c>
      <c r="O759">
        <v>132438.5</v>
      </c>
    </row>
    <row r="760" spans="1:15" x14ac:dyDescent="0.35">
      <c r="A760" t="s">
        <v>15</v>
      </c>
      <c r="B760" t="s">
        <v>16</v>
      </c>
      <c r="C760" t="s">
        <v>36</v>
      </c>
      <c r="D760" t="s">
        <v>920</v>
      </c>
      <c r="E760" t="s">
        <v>2044</v>
      </c>
      <c r="F760" t="s">
        <v>30</v>
      </c>
      <c r="G760" t="s">
        <v>921</v>
      </c>
      <c r="H760" t="s">
        <v>22</v>
      </c>
      <c r="I760" t="s">
        <v>23</v>
      </c>
      <c r="J760" s="1">
        <v>55140</v>
      </c>
      <c r="K760" t="s">
        <v>2041</v>
      </c>
      <c r="L760" t="s">
        <v>2369</v>
      </c>
      <c r="M760" t="s">
        <v>2026</v>
      </c>
      <c r="N760">
        <v>15</v>
      </c>
      <c r="O760">
        <v>169153.5</v>
      </c>
    </row>
    <row r="761" spans="1:15" x14ac:dyDescent="0.35">
      <c r="A761" t="s">
        <v>15</v>
      </c>
      <c r="B761" t="s">
        <v>52</v>
      </c>
      <c r="C761" t="s">
        <v>82</v>
      </c>
      <c r="D761" t="s">
        <v>1759</v>
      </c>
      <c r="E761" t="s">
        <v>84</v>
      </c>
      <c r="F761" t="s">
        <v>399</v>
      </c>
      <c r="G761" t="s">
        <v>65</v>
      </c>
      <c r="H761" t="s">
        <v>41</v>
      </c>
      <c r="I761" t="s">
        <v>58</v>
      </c>
      <c r="J761">
        <v>900</v>
      </c>
      <c r="K761" t="s">
        <v>2370</v>
      </c>
      <c r="L761" t="s">
        <v>2371</v>
      </c>
      <c r="M761" t="s">
        <v>60</v>
      </c>
      <c r="N761">
        <v>5</v>
      </c>
      <c r="O761">
        <v>164405</v>
      </c>
    </row>
    <row r="762" spans="1:15" x14ac:dyDescent="0.35">
      <c r="A762" t="s">
        <v>15</v>
      </c>
      <c r="B762" t="s">
        <v>16</v>
      </c>
      <c r="C762" t="s">
        <v>61</v>
      </c>
      <c r="D762" t="s">
        <v>579</v>
      </c>
      <c r="E762" t="s">
        <v>2372</v>
      </c>
      <c r="F762" t="s">
        <v>196</v>
      </c>
      <c r="G762" t="s">
        <v>580</v>
      </c>
      <c r="H762" t="s">
        <v>41</v>
      </c>
      <c r="I762" t="s">
        <v>23</v>
      </c>
      <c r="J762" s="1">
        <v>27420</v>
      </c>
      <c r="K762" t="s">
        <v>23</v>
      </c>
      <c r="L762" t="s">
        <v>2373</v>
      </c>
      <c r="M762" t="s">
        <v>2374</v>
      </c>
      <c r="N762">
        <v>7</v>
      </c>
      <c r="O762">
        <v>109183</v>
      </c>
    </row>
    <row r="763" spans="1:15" x14ac:dyDescent="0.35">
      <c r="A763" t="s">
        <v>15</v>
      </c>
      <c r="B763" t="s">
        <v>16</v>
      </c>
      <c r="C763" t="s">
        <v>36</v>
      </c>
      <c r="D763" t="s">
        <v>750</v>
      </c>
      <c r="E763" t="s">
        <v>732</v>
      </c>
      <c r="F763" t="s">
        <v>39</v>
      </c>
      <c r="G763" t="s">
        <v>752</v>
      </c>
      <c r="H763" t="s">
        <v>41</v>
      </c>
      <c r="I763" t="s">
        <v>23</v>
      </c>
      <c r="J763" s="1">
        <v>20030</v>
      </c>
      <c r="K763" t="s">
        <v>23</v>
      </c>
      <c r="L763" t="s">
        <v>2375</v>
      </c>
      <c r="M763" t="s">
        <v>118</v>
      </c>
      <c r="O763">
        <v>101339.5</v>
      </c>
    </row>
    <row r="764" spans="1:15" x14ac:dyDescent="0.35">
      <c r="A764" t="s">
        <v>15</v>
      </c>
      <c r="B764" t="s">
        <v>27</v>
      </c>
      <c r="C764" t="s">
        <v>61</v>
      </c>
      <c r="D764" t="s">
        <v>601</v>
      </c>
      <c r="E764" t="s">
        <v>128</v>
      </c>
      <c r="F764" t="s">
        <v>196</v>
      </c>
      <c r="G764" t="s">
        <v>65</v>
      </c>
      <c r="H764" t="s">
        <v>57</v>
      </c>
      <c r="I764" t="s">
        <v>23</v>
      </c>
      <c r="J764" s="1">
        <v>290770</v>
      </c>
      <c r="K764" t="s">
        <v>1849</v>
      </c>
      <c r="L764" t="s">
        <v>2376</v>
      </c>
      <c r="M764" t="s">
        <v>200</v>
      </c>
      <c r="N764">
        <v>7</v>
      </c>
      <c r="O764">
        <v>35605</v>
      </c>
    </row>
    <row r="765" spans="1:15" x14ac:dyDescent="0.35">
      <c r="A765" t="s">
        <v>15</v>
      </c>
      <c r="B765" t="s">
        <v>16</v>
      </c>
      <c r="C765" t="s">
        <v>61</v>
      </c>
      <c r="D765" t="s">
        <v>1736</v>
      </c>
      <c r="E765" t="s">
        <v>2377</v>
      </c>
      <c r="F765" t="s">
        <v>399</v>
      </c>
      <c r="G765" t="s">
        <v>412</v>
      </c>
      <c r="H765" t="s">
        <v>41</v>
      </c>
      <c r="I765" t="s">
        <v>23</v>
      </c>
      <c r="J765" s="1">
        <v>258810</v>
      </c>
      <c r="K765" t="s">
        <v>1998</v>
      </c>
      <c r="L765" t="s">
        <v>2378</v>
      </c>
      <c r="M765" t="s">
        <v>60</v>
      </c>
      <c r="N765">
        <v>5</v>
      </c>
      <c r="O765">
        <v>167239.5</v>
      </c>
    </row>
    <row r="766" spans="1:15" x14ac:dyDescent="0.35">
      <c r="A766" t="s">
        <v>15</v>
      </c>
      <c r="B766" t="s">
        <v>27</v>
      </c>
      <c r="C766" t="s">
        <v>36</v>
      </c>
      <c r="D766" t="s">
        <v>142</v>
      </c>
      <c r="E766" t="s">
        <v>796</v>
      </c>
      <c r="F766" t="s">
        <v>847</v>
      </c>
      <c r="G766" t="s">
        <v>144</v>
      </c>
      <c r="H766" t="s">
        <v>115</v>
      </c>
      <c r="I766" t="s">
        <v>23</v>
      </c>
      <c r="J766" s="1">
        <v>93570</v>
      </c>
      <c r="K766" t="s">
        <v>2379</v>
      </c>
      <c r="L766" t="s">
        <v>2380</v>
      </c>
      <c r="M766" t="s">
        <v>2381</v>
      </c>
      <c r="N766">
        <v>16</v>
      </c>
      <c r="O766">
        <v>159837</v>
      </c>
    </row>
    <row r="767" spans="1:15" x14ac:dyDescent="0.35">
      <c r="A767" t="s">
        <v>15</v>
      </c>
      <c r="B767" t="s">
        <v>99</v>
      </c>
      <c r="C767" t="s">
        <v>82</v>
      </c>
      <c r="D767" t="s">
        <v>962</v>
      </c>
      <c r="E767" t="s">
        <v>2382</v>
      </c>
      <c r="F767" t="s">
        <v>125</v>
      </c>
      <c r="G767" t="s">
        <v>964</v>
      </c>
      <c r="H767" t="s">
        <v>41</v>
      </c>
      <c r="I767" t="s">
        <v>61</v>
      </c>
      <c r="J767" t="s">
        <v>58</v>
      </c>
      <c r="K767" t="s">
        <v>965</v>
      </c>
      <c r="L767" t="s">
        <v>2383</v>
      </c>
      <c r="M767" t="s">
        <v>110</v>
      </c>
      <c r="N767">
        <v>14</v>
      </c>
      <c r="O767">
        <v>25213</v>
      </c>
    </row>
    <row r="768" spans="1:15" x14ac:dyDescent="0.35">
      <c r="A768" t="s">
        <v>15</v>
      </c>
      <c r="B768" t="s">
        <v>27</v>
      </c>
      <c r="C768" t="s">
        <v>61</v>
      </c>
      <c r="D768" t="s">
        <v>864</v>
      </c>
      <c r="E768" t="s">
        <v>865</v>
      </c>
      <c r="F768" t="s">
        <v>39</v>
      </c>
      <c r="G768" t="s">
        <v>866</v>
      </c>
      <c r="H768" t="s">
        <v>41</v>
      </c>
      <c r="I768" t="s">
        <v>58</v>
      </c>
      <c r="J768">
        <v>180</v>
      </c>
      <c r="K768" t="s">
        <v>58</v>
      </c>
      <c r="L768" t="s">
        <v>2384</v>
      </c>
      <c r="M768" t="s">
        <v>868</v>
      </c>
      <c r="O768">
        <v>123307</v>
      </c>
    </row>
    <row r="769" spans="1:15" x14ac:dyDescent="0.35">
      <c r="A769" t="s">
        <v>15</v>
      </c>
      <c r="B769" t="s">
        <v>16</v>
      </c>
      <c r="C769" t="s">
        <v>36</v>
      </c>
      <c r="D769" t="s">
        <v>1794</v>
      </c>
      <c r="E769" t="s">
        <v>94</v>
      </c>
      <c r="F769" t="s">
        <v>244</v>
      </c>
      <c r="G769" t="s">
        <v>238</v>
      </c>
      <c r="H769" t="s">
        <v>22</v>
      </c>
      <c r="I769" t="s">
        <v>23</v>
      </c>
      <c r="J769" s="1">
        <v>500010</v>
      </c>
      <c r="K769" t="s">
        <v>23</v>
      </c>
      <c r="L769" t="s">
        <v>2385</v>
      </c>
      <c r="M769" t="s">
        <v>300</v>
      </c>
      <c r="N769">
        <v>2</v>
      </c>
      <c r="O769">
        <v>116908</v>
      </c>
    </row>
    <row r="770" spans="1:15" x14ac:dyDescent="0.35">
      <c r="A770" t="s">
        <v>15</v>
      </c>
      <c r="B770" t="s">
        <v>16</v>
      </c>
      <c r="C770" t="s">
        <v>17</v>
      </c>
      <c r="D770" t="s">
        <v>1548</v>
      </c>
      <c r="E770" t="s">
        <v>1549</v>
      </c>
      <c r="F770" t="s">
        <v>125</v>
      </c>
      <c r="G770" t="s">
        <v>1550</v>
      </c>
      <c r="H770" t="s">
        <v>115</v>
      </c>
      <c r="I770" t="s">
        <v>23</v>
      </c>
      <c r="J770" s="1">
        <v>107730</v>
      </c>
      <c r="K770" t="s">
        <v>2386</v>
      </c>
      <c r="L770" t="s">
        <v>2387</v>
      </c>
      <c r="M770" t="s">
        <v>2121</v>
      </c>
      <c r="N770">
        <v>14</v>
      </c>
      <c r="O770">
        <v>172622.5</v>
      </c>
    </row>
    <row r="771" spans="1:15" x14ac:dyDescent="0.35">
      <c r="A771" t="s">
        <v>15</v>
      </c>
      <c r="B771" t="s">
        <v>16</v>
      </c>
      <c r="C771" t="s">
        <v>17</v>
      </c>
      <c r="D771" t="s">
        <v>1914</v>
      </c>
      <c r="E771" t="s">
        <v>2013</v>
      </c>
      <c r="F771" t="s">
        <v>431</v>
      </c>
      <c r="G771" t="s">
        <v>946</v>
      </c>
      <c r="H771" t="s">
        <v>22</v>
      </c>
      <c r="I771" t="s">
        <v>23</v>
      </c>
      <c r="J771" s="1">
        <v>409060</v>
      </c>
      <c r="K771" t="s">
        <v>2388</v>
      </c>
      <c r="L771" t="s">
        <v>2389</v>
      </c>
      <c r="M771" t="s">
        <v>2390</v>
      </c>
      <c r="N771">
        <v>21</v>
      </c>
      <c r="O771">
        <v>121475.5</v>
      </c>
    </row>
    <row r="772" spans="1:15" x14ac:dyDescent="0.35">
      <c r="A772" t="s">
        <v>15</v>
      </c>
      <c r="B772" t="s">
        <v>52</v>
      </c>
      <c r="C772" t="s">
        <v>17</v>
      </c>
      <c r="D772" t="s">
        <v>1561</v>
      </c>
      <c r="E772" t="s">
        <v>2391</v>
      </c>
      <c r="F772" t="s">
        <v>244</v>
      </c>
      <c r="G772" t="s">
        <v>1563</v>
      </c>
      <c r="H772" t="s">
        <v>41</v>
      </c>
      <c r="I772" t="s">
        <v>58</v>
      </c>
      <c r="J772" s="1">
        <v>3520</v>
      </c>
      <c r="K772" t="s">
        <v>58</v>
      </c>
      <c r="L772" t="s">
        <v>1564</v>
      </c>
      <c r="M772" t="s">
        <v>60</v>
      </c>
      <c r="N772">
        <v>2</v>
      </c>
      <c r="O772">
        <v>34569</v>
      </c>
    </row>
    <row r="773" spans="1:15" x14ac:dyDescent="0.35">
      <c r="A773" t="s">
        <v>15</v>
      </c>
      <c r="B773" t="s">
        <v>16</v>
      </c>
      <c r="C773" t="s">
        <v>36</v>
      </c>
      <c r="D773" t="s">
        <v>18</v>
      </c>
      <c r="E773" t="s">
        <v>2125</v>
      </c>
      <c r="F773" t="s">
        <v>847</v>
      </c>
      <c r="G773" t="s">
        <v>21</v>
      </c>
      <c r="H773" t="s">
        <v>22</v>
      </c>
      <c r="I773" t="s">
        <v>23</v>
      </c>
      <c r="J773" t="s">
        <v>24</v>
      </c>
      <c r="K773" t="s">
        <v>23</v>
      </c>
      <c r="L773" t="s">
        <v>2392</v>
      </c>
      <c r="M773" t="s">
        <v>2127</v>
      </c>
      <c r="N773">
        <v>16</v>
      </c>
      <c r="O773">
        <v>147964.5</v>
      </c>
    </row>
    <row r="774" spans="1:15" x14ac:dyDescent="0.35">
      <c r="A774" t="s">
        <v>15</v>
      </c>
      <c r="B774" t="s">
        <v>16</v>
      </c>
      <c r="C774" t="s">
        <v>36</v>
      </c>
      <c r="D774" t="s">
        <v>1929</v>
      </c>
      <c r="E774" t="s">
        <v>2393</v>
      </c>
      <c r="F774" t="s">
        <v>196</v>
      </c>
      <c r="G774" t="s">
        <v>229</v>
      </c>
      <c r="H774" t="s">
        <v>57</v>
      </c>
      <c r="I774" t="s">
        <v>58</v>
      </c>
      <c r="J774" s="1">
        <v>312060</v>
      </c>
      <c r="K774" t="s">
        <v>58</v>
      </c>
      <c r="L774" t="s">
        <v>2225</v>
      </c>
      <c r="M774" t="s">
        <v>2394</v>
      </c>
      <c r="N774">
        <v>7</v>
      </c>
      <c r="O774">
        <v>28046</v>
      </c>
    </row>
    <row r="775" spans="1:15" x14ac:dyDescent="0.35">
      <c r="A775" t="s">
        <v>15</v>
      </c>
      <c r="B775" t="s">
        <v>16</v>
      </c>
      <c r="C775" t="s">
        <v>17</v>
      </c>
      <c r="D775" t="s">
        <v>2395</v>
      </c>
      <c r="E775" t="s">
        <v>2396</v>
      </c>
      <c r="F775" t="s">
        <v>312</v>
      </c>
      <c r="G775" t="s">
        <v>2397</v>
      </c>
      <c r="H775" t="s">
        <v>57</v>
      </c>
      <c r="I775" t="s">
        <v>58</v>
      </c>
      <c r="J775" s="1">
        <v>20600</v>
      </c>
      <c r="K775" t="s">
        <v>58</v>
      </c>
      <c r="L775" t="s">
        <v>2398</v>
      </c>
      <c r="M775" t="s">
        <v>81</v>
      </c>
      <c r="N775">
        <v>4</v>
      </c>
      <c r="O775">
        <v>121480.5</v>
      </c>
    </row>
    <row r="776" spans="1:15" x14ac:dyDescent="0.35">
      <c r="A776" t="s">
        <v>75</v>
      </c>
      <c r="B776" t="s">
        <v>27</v>
      </c>
      <c r="C776" t="s">
        <v>36</v>
      </c>
      <c r="D776" t="s">
        <v>601</v>
      </c>
      <c r="E776" t="s">
        <v>2249</v>
      </c>
      <c r="F776" t="s">
        <v>39</v>
      </c>
      <c r="G776" t="s">
        <v>65</v>
      </c>
      <c r="H776" t="s">
        <v>57</v>
      </c>
      <c r="I776" t="s">
        <v>23</v>
      </c>
      <c r="J776" s="1">
        <v>290740</v>
      </c>
      <c r="K776" t="s">
        <v>2399</v>
      </c>
      <c r="L776" t="s">
        <v>2400</v>
      </c>
      <c r="M776" t="s">
        <v>2252</v>
      </c>
      <c r="O776">
        <v>164408</v>
      </c>
    </row>
    <row r="777" spans="1:15" x14ac:dyDescent="0.35">
      <c r="A777" t="s">
        <v>75</v>
      </c>
      <c r="B777" t="s">
        <v>69</v>
      </c>
      <c r="C777" t="s">
        <v>36</v>
      </c>
      <c r="D777" t="s">
        <v>2401</v>
      </c>
      <c r="E777" t="s">
        <v>2044</v>
      </c>
      <c r="F777" t="s">
        <v>2402</v>
      </c>
      <c r="G777" t="s">
        <v>2403</v>
      </c>
      <c r="H777" t="s">
        <v>41</v>
      </c>
      <c r="I777" t="s">
        <v>58</v>
      </c>
      <c r="J777" s="1">
        <v>110010</v>
      </c>
      <c r="K777" t="s">
        <v>2404</v>
      </c>
      <c r="L777" t="s">
        <v>2405</v>
      </c>
      <c r="M777" t="s">
        <v>2406</v>
      </c>
      <c r="N777">
        <v>8</v>
      </c>
      <c r="O777">
        <v>180385.5</v>
      </c>
    </row>
    <row r="778" spans="1:15" x14ac:dyDescent="0.35">
      <c r="A778" t="s">
        <v>15</v>
      </c>
      <c r="B778" t="s">
        <v>16</v>
      </c>
      <c r="C778" t="s">
        <v>36</v>
      </c>
      <c r="D778" t="s">
        <v>1736</v>
      </c>
      <c r="E778" t="s">
        <v>2049</v>
      </c>
      <c r="F778" t="s">
        <v>125</v>
      </c>
      <c r="G778" t="s">
        <v>412</v>
      </c>
      <c r="H778" t="s">
        <v>41</v>
      </c>
      <c r="I778" t="s">
        <v>23</v>
      </c>
      <c r="J778" s="1">
        <v>258790</v>
      </c>
      <c r="K778" t="s">
        <v>1998</v>
      </c>
      <c r="L778" t="s">
        <v>2407</v>
      </c>
      <c r="M778" t="s">
        <v>51</v>
      </c>
      <c r="N778">
        <v>14</v>
      </c>
      <c r="O778">
        <v>249803.5</v>
      </c>
    </row>
    <row r="779" spans="1:15" x14ac:dyDescent="0.35">
      <c r="A779" t="s">
        <v>15</v>
      </c>
      <c r="B779" t="s">
        <v>16</v>
      </c>
      <c r="C779" t="s">
        <v>36</v>
      </c>
      <c r="D779" t="s">
        <v>915</v>
      </c>
      <c r="E779" t="s">
        <v>2408</v>
      </c>
      <c r="F779" t="s">
        <v>39</v>
      </c>
      <c r="G779" t="s">
        <v>916</v>
      </c>
      <c r="H779" t="s">
        <v>57</v>
      </c>
      <c r="I779" t="s">
        <v>23</v>
      </c>
      <c r="J779" s="1">
        <v>62030</v>
      </c>
      <c r="K779" t="s">
        <v>917</v>
      </c>
      <c r="L779" t="s">
        <v>2409</v>
      </c>
      <c r="M779" t="s">
        <v>919</v>
      </c>
      <c r="O779">
        <v>210400.5</v>
      </c>
    </row>
    <row r="780" spans="1:15" x14ac:dyDescent="0.35">
      <c r="A780" t="s">
        <v>15</v>
      </c>
      <c r="B780" t="s">
        <v>16</v>
      </c>
      <c r="C780" t="s">
        <v>17</v>
      </c>
      <c r="D780" t="s">
        <v>1989</v>
      </c>
      <c r="E780" t="s">
        <v>2016</v>
      </c>
      <c r="F780" t="s">
        <v>196</v>
      </c>
      <c r="G780" t="s">
        <v>238</v>
      </c>
      <c r="H780" t="s">
        <v>57</v>
      </c>
      <c r="I780" t="s">
        <v>23</v>
      </c>
      <c r="J780" s="1">
        <v>11060</v>
      </c>
      <c r="K780" t="s">
        <v>2410</v>
      </c>
      <c r="L780" t="s">
        <v>2411</v>
      </c>
      <c r="M780" t="s">
        <v>81</v>
      </c>
      <c r="N780">
        <v>7</v>
      </c>
      <c r="O780">
        <v>94080</v>
      </c>
    </row>
    <row r="781" spans="1:15" x14ac:dyDescent="0.35">
      <c r="A781" t="s">
        <v>75</v>
      </c>
      <c r="B781" t="s">
        <v>99</v>
      </c>
      <c r="C781" t="s">
        <v>61</v>
      </c>
      <c r="D781" t="s">
        <v>1802</v>
      </c>
      <c r="E781" t="s">
        <v>128</v>
      </c>
      <c r="F781" t="s">
        <v>125</v>
      </c>
      <c r="G781" t="s">
        <v>1803</v>
      </c>
      <c r="H781" t="s">
        <v>41</v>
      </c>
      <c r="I781" t="s">
        <v>23</v>
      </c>
      <c r="J781" s="1">
        <v>492205</v>
      </c>
      <c r="K781" t="s">
        <v>2131</v>
      </c>
      <c r="L781" t="s">
        <v>2412</v>
      </c>
      <c r="M781" t="s">
        <v>2413</v>
      </c>
      <c r="N781">
        <v>14</v>
      </c>
      <c r="O781">
        <v>18359.5</v>
      </c>
    </row>
    <row r="782" spans="1:15" x14ac:dyDescent="0.35">
      <c r="A782" t="s">
        <v>15</v>
      </c>
      <c r="B782" t="s">
        <v>16</v>
      </c>
      <c r="C782" t="s">
        <v>17</v>
      </c>
      <c r="D782" t="s">
        <v>1749</v>
      </c>
      <c r="E782" t="s">
        <v>2414</v>
      </c>
      <c r="F782" t="s">
        <v>244</v>
      </c>
      <c r="G782" t="s">
        <v>1751</v>
      </c>
      <c r="H782" t="s">
        <v>57</v>
      </c>
      <c r="I782" t="s">
        <v>23</v>
      </c>
      <c r="J782" s="1">
        <v>18170</v>
      </c>
      <c r="K782" t="s">
        <v>2415</v>
      </c>
      <c r="L782" t="s">
        <v>2416</v>
      </c>
      <c r="M782" t="s">
        <v>2417</v>
      </c>
      <c r="N782">
        <v>2</v>
      </c>
      <c r="O782">
        <v>126407</v>
      </c>
    </row>
    <row r="783" spans="1:15" x14ac:dyDescent="0.35">
      <c r="A783" t="s">
        <v>75</v>
      </c>
      <c r="B783" t="s">
        <v>16</v>
      </c>
      <c r="C783" t="s">
        <v>36</v>
      </c>
      <c r="D783" t="s">
        <v>2170</v>
      </c>
      <c r="E783" t="s">
        <v>268</v>
      </c>
      <c r="F783" t="s">
        <v>125</v>
      </c>
      <c r="G783" t="s">
        <v>204</v>
      </c>
      <c r="H783" t="s">
        <v>41</v>
      </c>
      <c r="I783" t="s">
        <v>23</v>
      </c>
      <c r="J783" s="1">
        <v>26050</v>
      </c>
      <c r="K783" t="s">
        <v>23</v>
      </c>
      <c r="L783" t="s">
        <v>2418</v>
      </c>
      <c r="M783" t="s">
        <v>2419</v>
      </c>
      <c r="N783">
        <v>14</v>
      </c>
      <c r="O783">
        <v>252999</v>
      </c>
    </row>
    <row r="784" spans="1:15" x14ac:dyDescent="0.35">
      <c r="A784" t="s">
        <v>15</v>
      </c>
      <c r="B784" t="s">
        <v>16</v>
      </c>
      <c r="C784" t="s">
        <v>82</v>
      </c>
      <c r="D784" t="s">
        <v>1477</v>
      </c>
      <c r="E784" t="s">
        <v>2420</v>
      </c>
      <c r="F784" t="s">
        <v>47</v>
      </c>
      <c r="G784" t="s">
        <v>1478</v>
      </c>
      <c r="H784" t="s">
        <v>115</v>
      </c>
      <c r="I784" t="s">
        <v>61</v>
      </c>
      <c r="J784" s="1">
        <v>120050</v>
      </c>
      <c r="K784" t="s">
        <v>960</v>
      </c>
      <c r="L784" t="s">
        <v>2421</v>
      </c>
      <c r="M784" t="s">
        <v>1480</v>
      </c>
      <c r="N784">
        <v>8</v>
      </c>
      <c r="O784">
        <v>159841</v>
      </c>
    </row>
    <row r="785" spans="1:15" x14ac:dyDescent="0.35">
      <c r="A785" t="s">
        <v>15</v>
      </c>
      <c r="B785" t="s">
        <v>16</v>
      </c>
      <c r="C785" t="s">
        <v>17</v>
      </c>
      <c r="D785" t="s">
        <v>257</v>
      </c>
      <c r="E785" t="s">
        <v>258</v>
      </c>
      <c r="F785" t="s">
        <v>196</v>
      </c>
      <c r="G785" t="s">
        <v>90</v>
      </c>
      <c r="H785" t="s">
        <v>41</v>
      </c>
      <c r="I785" t="s">
        <v>23</v>
      </c>
      <c r="J785" s="1">
        <v>5030</v>
      </c>
      <c r="K785" t="s">
        <v>2422</v>
      </c>
      <c r="L785" t="s">
        <v>260</v>
      </c>
      <c r="M785" t="s">
        <v>60</v>
      </c>
      <c r="N785">
        <v>7</v>
      </c>
      <c r="O785">
        <v>152074.5</v>
      </c>
    </row>
    <row r="786" spans="1:15" x14ac:dyDescent="0.35">
      <c r="A786" t="s">
        <v>15</v>
      </c>
      <c r="B786" t="s">
        <v>16</v>
      </c>
      <c r="C786" t="s">
        <v>17</v>
      </c>
      <c r="D786" t="s">
        <v>703</v>
      </c>
      <c r="E786" t="s">
        <v>2016</v>
      </c>
      <c r="F786" t="s">
        <v>196</v>
      </c>
      <c r="G786" t="s">
        <v>169</v>
      </c>
      <c r="H786" t="s">
        <v>41</v>
      </c>
      <c r="I786" t="s">
        <v>23</v>
      </c>
      <c r="J786" s="1">
        <v>261070</v>
      </c>
      <c r="K786" t="s">
        <v>2423</v>
      </c>
      <c r="L786" t="s">
        <v>2424</v>
      </c>
      <c r="M786" t="s">
        <v>2019</v>
      </c>
      <c r="N786">
        <v>7</v>
      </c>
      <c r="O786">
        <v>118054.5</v>
      </c>
    </row>
    <row r="787" spans="1:15" x14ac:dyDescent="0.35">
      <c r="A787" t="s">
        <v>15</v>
      </c>
      <c r="B787" t="s">
        <v>27</v>
      </c>
      <c r="C787" t="s">
        <v>61</v>
      </c>
      <c r="D787" t="s">
        <v>645</v>
      </c>
      <c r="E787" t="s">
        <v>646</v>
      </c>
      <c r="F787" t="s">
        <v>237</v>
      </c>
      <c r="G787" t="s">
        <v>647</v>
      </c>
      <c r="H787" t="s">
        <v>57</v>
      </c>
      <c r="I787" t="s">
        <v>23</v>
      </c>
      <c r="J787" s="1">
        <v>30840</v>
      </c>
      <c r="K787" t="s">
        <v>23</v>
      </c>
      <c r="L787" t="s">
        <v>2425</v>
      </c>
      <c r="M787" t="s">
        <v>2426</v>
      </c>
      <c r="N787">
        <v>20</v>
      </c>
      <c r="O787">
        <v>67039</v>
      </c>
    </row>
    <row r="788" spans="1:15" x14ac:dyDescent="0.35">
      <c r="A788" t="s">
        <v>75</v>
      </c>
      <c r="B788" t="s">
        <v>16</v>
      </c>
      <c r="C788" t="s">
        <v>36</v>
      </c>
      <c r="D788" t="s">
        <v>1646</v>
      </c>
      <c r="E788" t="s">
        <v>2427</v>
      </c>
      <c r="F788" t="s">
        <v>113</v>
      </c>
      <c r="G788" t="s">
        <v>1648</v>
      </c>
      <c r="H788" t="s">
        <v>41</v>
      </c>
      <c r="I788" t="s">
        <v>23</v>
      </c>
      <c r="J788" s="1">
        <v>117760</v>
      </c>
      <c r="K788" t="s">
        <v>2428</v>
      </c>
      <c r="L788" t="s">
        <v>2429</v>
      </c>
      <c r="M788" t="s">
        <v>1651</v>
      </c>
      <c r="N788">
        <v>19</v>
      </c>
      <c r="O788">
        <v>121019</v>
      </c>
    </row>
    <row r="789" spans="1:15" x14ac:dyDescent="0.35">
      <c r="A789" t="s">
        <v>15</v>
      </c>
      <c r="B789" t="s">
        <v>16</v>
      </c>
      <c r="C789" t="s">
        <v>36</v>
      </c>
      <c r="D789" t="s">
        <v>371</v>
      </c>
      <c r="E789" t="s">
        <v>2430</v>
      </c>
      <c r="F789" t="s">
        <v>394</v>
      </c>
      <c r="G789" t="s">
        <v>204</v>
      </c>
      <c r="H789" t="s">
        <v>22</v>
      </c>
      <c r="I789" t="s">
        <v>23</v>
      </c>
      <c r="J789" s="1">
        <v>865476</v>
      </c>
      <c r="K789" t="s">
        <v>2431</v>
      </c>
      <c r="L789" t="s">
        <v>2432</v>
      </c>
      <c r="M789" t="s">
        <v>1512</v>
      </c>
      <c r="N789">
        <v>11</v>
      </c>
      <c r="O789">
        <v>158932</v>
      </c>
    </row>
    <row r="790" spans="1:15" x14ac:dyDescent="0.35">
      <c r="A790" t="s">
        <v>15</v>
      </c>
      <c r="B790" t="s">
        <v>16</v>
      </c>
      <c r="C790" t="s">
        <v>17</v>
      </c>
      <c r="D790" t="s">
        <v>836</v>
      </c>
      <c r="E790" t="s">
        <v>2433</v>
      </c>
      <c r="F790" t="s">
        <v>85</v>
      </c>
      <c r="G790" t="s">
        <v>838</v>
      </c>
      <c r="H790" t="s">
        <v>41</v>
      </c>
      <c r="I790" t="s">
        <v>23</v>
      </c>
      <c r="J790" s="1">
        <v>132040</v>
      </c>
      <c r="K790" t="s">
        <v>839</v>
      </c>
      <c r="L790" t="s">
        <v>2434</v>
      </c>
      <c r="M790" t="s">
        <v>2435</v>
      </c>
      <c r="N790">
        <v>6</v>
      </c>
      <c r="O790">
        <v>73984</v>
      </c>
    </row>
    <row r="791" spans="1:15" x14ac:dyDescent="0.35">
      <c r="A791" t="s">
        <v>15</v>
      </c>
      <c r="B791" t="s">
        <v>16</v>
      </c>
      <c r="C791" t="s">
        <v>61</v>
      </c>
      <c r="D791" t="s">
        <v>2170</v>
      </c>
      <c r="E791" t="s">
        <v>128</v>
      </c>
      <c r="F791" t="s">
        <v>139</v>
      </c>
      <c r="G791" t="s">
        <v>204</v>
      </c>
      <c r="H791" t="s">
        <v>41</v>
      </c>
      <c r="I791" t="s">
        <v>23</v>
      </c>
      <c r="J791" s="1">
        <v>26090</v>
      </c>
      <c r="K791" t="s">
        <v>23</v>
      </c>
      <c r="L791" t="s">
        <v>2436</v>
      </c>
      <c r="M791" t="s">
        <v>300</v>
      </c>
      <c r="N791">
        <v>13</v>
      </c>
      <c r="O791">
        <v>32733</v>
      </c>
    </row>
    <row r="792" spans="1:15" x14ac:dyDescent="0.35">
      <c r="A792" t="s">
        <v>15</v>
      </c>
      <c r="B792" t="s">
        <v>16</v>
      </c>
      <c r="C792" t="s">
        <v>82</v>
      </c>
      <c r="D792" t="s">
        <v>587</v>
      </c>
      <c r="E792" t="s">
        <v>1652</v>
      </c>
      <c r="F792" t="s">
        <v>125</v>
      </c>
      <c r="G792" t="s">
        <v>588</v>
      </c>
      <c r="H792" t="s">
        <v>41</v>
      </c>
      <c r="I792" t="s">
        <v>58</v>
      </c>
      <c r="J792">
        <v>30</v>
      </c>
      <c r="K792" t="s">
        <v>58</v>
      </c>
      <c r="L792" t="s">
        <v>2437</v>
      </c>
      <c r="M792" t="s">
        <v>241</v>
      </c>
      <c r="N792">
        <v>14</v>
      </c>
      <c r="O792">
        <v>146137</v>
      </c>
    </row>
    <row r="793" spans="1:15" x14ac:dyDescent="0.35">
      <c r="A793" t="s">
        <v>15</v>
      </c>
      <c r="B793" t="s">
        <v>16</v>
      </c>
      <c r="C793" t="s">
        <v>36</v>
      </c>
      <c r="D793" t="s">
        <v>579</v>
      </c>
      <c r="E793" t="s">
        <v>2208</v>
      </c>
      <c r="F793" t="s">
        <v>39</v>
      </c>
      <c r="G793" t="s">
        <v>580</v>
      </c>
      <c r="H793" t="s">
        <v>41</v>
      </c>
      <c r="I793" t="s">
        <v>23</v>
      </c>
      <c r="J793" s="1">
        <v>27410</v>
      </c>
      <c r="K793" t="s">
        <v>23</v>
      </c>
      <c r="L793" t="s">
        <v>2438</v>
      </c>
      <c r="M793" t="s">
        <v>2210</v>
      </c>
      <c r="O793">
        <v>134186.5</v>
      </c>
    </row>
    <row r="794" spans="1:15" x14ac:dyDescent="0.35">
      <c r="A794" t="s">
        <v>15</v>
      </c>
      <c r="B794" t="s">
        <v>99</v>
      </c>
      <c r="C794" t="s">
        <v>36</v>
      </c>
      <c r="D794" t="s">
        <v>762</v>
      </c>
      <c r="E794" t="s">
        <v>2230</v>
      </c>
      <c r="F794" t="s">
        <v>196</v>
      </c>
      <c r="G794" t="s">
        <v>764</v>
      </c>
      <c r="H794" t="s">
        <v>115</v>
      </c>
      <c r="I794" t="s">
        <v>23</v>
      </c>
      <c r="J794" s="1">
        <v>37950</v>
      </c>
      <c r="K794" t="s">
        <v>23</v>
      </c>
      <c r="L794" t="s">
        <v>2439</v>
      </c>
      <c r="M794" t="s">
        <v>2309</v>
      </c>
      <c r="N794">
        <v>7</v>
      </c>
      <c r="O794">
        <v>18199</v>
      </c>
    </row>
    <row r="795" spans="1:15" x14ac:dyDescent="0.35">
      <c r="A795" t="s">
        <v>15</v>
      </c>
      <c r="B795" t="s">
        <v>16</v>
      </c>
      <c r="C795" t="s">
        <v>61</v>
      </c>
      <c r="D795" t="s">
        <v>1632</v>
      </c>
      <c r="E795" t="s">
        <v>2440</v>
      </c>
      <c r="F795" t="s">
        <v>847</v>
      </c>
      <c r="G795" t="s">
        <v>48</v>
      </c>
      <c r="H795" t="s">
        <v>41</v>
      </c>
      <c r="I795" t="s">
        <v>23</v>
      </c>
      <c r="J795" s="1">
        <v>21300</v>
      </c>
      <c r="K795" t="s">
        <v>2441</v>
      </c>
      <c r="L795" t="s">
        <v>2442</v>
      </c>
      <c r="M795" t="s">
        <v>2443</v>
      </c>
      <c r="N795">
        <v>16</v>
      </c>
      <c r="O795">
        <v>33671.5</v>
      </c>
    </row>
    <row r="796" spans="1:15" x14ac:dyDescent="0.35">
      <c r="A796" t="s">
        <v>15</v>
      </c>
      <c r="B796" t="s">
        <v>16</v>
      </c>
      <c r="C796" t="s">
        <v>17</v>
      </c>
      <c r="D796" t="s">
        <v>1418</v>
      </c>
      <c r="E796" t="s">
        <v>2444</v>
      </c>
      <c r="F796" t="s">
        <v>78</v>
      </c>
      <c r="G796" t="s">
        <v>56</v>
      </c>
      <c r="H796" t="s">
        <v>41</v>
      </c>
      <c r="I796" t="s">
        <v>23</v>
      </c>
      <c r="J796" s="1">
        <v>96040</v>
      </c>
      <c r="K796" t="s">
        <v>23</v>
      </c>
      <c r="L796" t="s">
        <v>2445</v>
      </c>
      <c r="M796" t="s">
        <v>2446</v>
      </c>
      <c r="N796">
        <v>9</v>
      </c>
      <c r="O796">
        <v>80559</v>
      </c>
    </row>
    <row r="797" spans="1:15" x14ac:dyDescent="0.35">
      <c r="A797" t="s">
        <v>15</v>
      </c>
      <c r="B797" t="s">
        <v>16</v>
      </c>
      <c r="C797" t="s">
        <v>36</v>
      </c>
      <c r="D797" t="s">
        <v>88</v>
      </c>
      <c r="E797" t="s">
        <v>54</v>
      </c>
      <c r="F797" t="s">
        <v>341</v>
      </c>
      <c r="G797" t="s">
        <v>90</v>
      </c>
      <c r="H797" t="s">
        <v>41</v>
      </c>
      <c r="I797" t="s">
        <v>23</v>
      </c>
      <c r="J797" s="1">
        <v>5570</v>
      </c>
      <c r="K797" t="s">
        <v>363</v>
      </c>
      <c r="L797" t="s">
        <v>2447</v>
      </c>
      <c r="M797" t="s">
        <v>60</v>
      </c>
      <c r="N797">
        <v>2</v>
      </c>
      <c r="O797">
        <v>189974</v>
      </c>
    </row>
    <row r="798" spans="1:15" x14ac:dyDescent="0.35">
      <c r="A798" t="s">
        <v>15</v>
      </c>
      <c r="B798" t="s">
        <v>16</v>
      </c>
      <c r="C798" t="s">
        <v>36</v>
      </c>
      <c r="D798" t="s">
        <v>694</v>
      </c>
      <c r="E798" t="s">
        <v>695</v>
      </c>
      <c r="F798" t="s">
        <v>39</v>
      </c>
      <c r="G798" t="s">
        <v>580</v>
      </c>
      <c r="H798" t="s">
        <v>41</v>
      </c>
      <c r="I798" t="s">
        <v>23</v>
      </c>
      <c r="J798" s="1">
        <v>26040</v>
      </c>
      <c r="K798" t="s">
        <v>696</v>
      </c>
      <c r="L798" t="s">
        <v>2173</v>
      </c>
      <c r="M798" t="s">
        <v>698</v>
      </c>
      <c r="O798">
        <v>114169</v>
      </c>
    </row>
    <row r="799" spans="1:15" x14ac:dyDescent="0.35">
      <c r="A799" t="s">
        <v>15</v>
      </c>
      <c r="B799" t="s">
        <v>99</v>
      </c>
      <c r="C799" t="s">
        <v>82</v>
      </c>
      <c r="D799" t="s">
        <v>962</v>
      </c>
      <c r="E799" t="s">
        <v>2448</v>
      </c>
      <c r="F799" t="s">
        <v>125</v>
      </c>
      <c r="G799" t="s">
        <v>964</v>
      </c>
      <c r="H799" t="s">
        <v>41</v>
      </c>
      <c r="I799" t="s">
        <v>61</v>
      </c>
      <c r="J799" t="s">
        <v>58</v>
      </c>
      <c r="K799" t="s">
        <v>965</v>
      </c>
      <c r="L799" t="s">
        <v>1928</v>
      </c>
      <c r="M799" t="s">
        <v>110</v>
      </c>
      <c r="N799">
        <v>14</v>
      </c>
      <c r="O799">
        <v>25216</v>
      </c>
    </row>
    <row r="800" spans="1:15" x14ac:dyDescent="0.35">
      <c r="A800" t="s">
        <v>15</v>
      </c>
      <c r="B800" t="s">
        <v>99</v>
      </c>
      <c r="C800" t="s">
        <v>82</v>
      </c>
      <c r="D800" t="s">
        <v>962</v>
      </c>
      <c r="E800" t="s">
        <v>2449</v>
      </c>
      <c r="F800" t="s">
        <v>125</v>
      </c>
      <c r="G800" t="s">
        <v>964</v>
      </c>
      <c r="H800" t="s">
        <v>41</v>
      </c>
      <c r="I800" t="s">
        <v>61</v>
      </c>
      <c r="J800" t="s">
        <v>58</v>
      </c>
      <c r="K800" t="s">
        <v>965</v>
      </c>
      <c r="L800" t="s">
        <v>966</v>
      </c>
      <c r="M800" t="s">
        <v>110</v>
      </c>
      <c r="N800">
        <v>14</v>
      </c>
      <c r="O800">
        <v>25212</v>
      </c>
    </row>
    <row r="801" spans="1:15" x14ac:dyDescent="0.35">
      <c r="A801" t="s">
        <v>15</v>
      </c>
      <c r="B801" t="s">
        <v>16</v>
      </c>
      <c r="C801" t="s">
        <v>17</v>
      </c>
      <c r="D801" t="s">
        <v>1918</v>
      </c>
      <c r="E801" t="s">
        <v>2450</v>
      </c>
      <c r="F801" t="s">
        <v>125</v>
      </c>
      <c r="G801" t="s">
        <v>921</v>
      </c>
      <c r="H801" t="s">
        <v>41</v>
      </c>
      <c r="I801" t="s">
        <v>23</v>
      </c>
      <c r="J801" s="1">
        <v>27020</v>
      </c>
      <c r="K801" t="s">
        <v>23</v>
      </c>
      <c r="L801" t="s">
        <v>2451</v>
      </c>
      <c r="M801" t="s">
        <v>2452</v>
      </c>
      <c r="N801">
        <v>14</v>
      </c>
      <c r="O801">
        <v>147964.5</v>
      </c>
    </row>
    <row r="802" spans="1:15" x14ac:dyDescent="0.35">
      <c r="A802" t="s">
        <v>15</v>
      </c>
      <c r="B802" t="s">
        <v>27</v>
      </c>
      <c r="C802" t="s">
        <v>61</v>
      </c>
      <c r="D802" t="s">
        <v>864</v>
      </c>
      <c r="E802" t="s">
        <v>688</v>
      </c>
      <c r="F802" t="s">
        <v>85</v>
      </c>
      <c r="G802" t="s">
        <v>866</v>
      </c>
      <c r="H802" t="s">
        <v>41</v>
      </c>
      <c r="I802" t="s">
        <v>58</v>
      </c>
      <c r="J802">
        <v>180</v>
      </c>
      <c r="K802" t="s">
        <v>58</v>
      </c>
      <c r="L802" t="s">
        <v>2453</v>
      </c>
      <c r="M802" t="s">
        <v>2454</v>
      </c>
      <c r="N802">
        <v>6</v>
      </c>
      <c r="O802">
        <v>19776</v>
      </c>
    </row>
    <row r="803" spans="1:15" x14ac:dyDescent="0.35">
      <c r="A803" t="s">
        <v>15</v>
      </c>
      <c r="B803" t="s">
        <v>16</v>
      </c>
      <c r="C803" t="s">
        <v>36</v>
      </c>
      <c r="D803" t="s">
        <v>2238</v>
      </c>
      <c r="E803" t="s">
        <v>165</v>
      </c>
      <c r="F803" t="s">
        <v>196</v>
      </c>
      <c r="G803" t="s">
        <v>2239</v>
      </c>
      <c r="H803" t="s">
        <v>41</v>
      </c>
      <c r="I803" t="s">
        <v>23</v>
      </c>
      <c r="J803" s="1">
        <v>6040</v>
      </c>
      <c r="K803" t="s">
        <v>298</v>
      </c>
      <c r="L803" t="s">
        <v>2455</v>
      </c>
      <c r="M803" t="s">
        <v>475</v>
      </c>
      <c r="N803">
        <v>7</v>
      </c>
      <c r="O803">
        <v>212258.5</v>
      </c>
    </row>
    <row r="804" spans="1:15" x14ac:dyDescent="0.35">
      <c r="A804" t="s">
        <v>15</v>
      </c>
      <c r="B804" t="s">
        <v>16</v>
      </c>
      <c r="C804" t="s">
        <v>36</v>
      </c>
      <c r="D804" t="s">
        <v>1736</v>
      </c>
      <c r="E804" t="s">
        <v>743</v>
      </c>
      <c r="F804" t="s">
        <v>125</v>
      </c>
      <c r="G804" t="s">
        <v>412</v>
      </c>
      <c r="H804" t="s">
        <v>41</v>
      </c>
      <c r="I804" t="s">
        <v>23</v>
      </c>
      <c r="J804" s="1">
        <v>258800</v>
      </c>
      <c r="K804" t="s">
        <v>1970</v>
      </c>
      <c r="L804" t="s">
        <v>2456</v>
      </c>
      <c r="M804" t="s">
        <v>51</v>
      </c>
      <c r="N804">
        <v>14</v>
      </c>
      <c r="O804">
        <v>207325.5</v>
      </c>
    </row>
    <row r="805" spans="1:15" x14ac:dyDescent="0.35">
      <c r="A805" t="s">
        <v>15</v>
      </c>
      <c r="B805" t="s">
        <v>16</v>
      </c>
      <c r="C805" t="s">
        <v>17</v>
      </c>
      <c r="D805" t="s">
        <v>45</v>
      </c>
      <c r="E805" t="s">
        <v>2391</v>
      </c>
      <c r="F805" t="s">
        <v>431</v>
      </c>
      <c r="G805" t="s">
        <v>48</v>
      </c>
      <c r="H805" t="s">
        <v>41</v>
      </c>
      <c r="I805" t="s">
        <v>23</v>
      </c>
      <c r="J805" s="1">
        <v>34640</v>
      </c>
      <c r="K805" t="s">
        <v>2265</v>
      </c>
      <c r="L805" t="s">
        <v>2457</v>
      </c>
      <c r="M805" t="s">
        <v>2458</v>
      </c>
      <c r="N805">
        <v>21</v>
      </c>
      <c r="O805">
        <v>38153</v>
      </c>
    </row>
    <row r="806" spans="1:15" x14ac:dyDescent="0.35">
      <c r="A806" t="s">
        <v>15</v>
      </c>
      <c r="B806" t="s">
        <v>16</v>
      </c>
      <c r="C806" t="s">
        <v>61</v>
      </c>
      <c r="D806" t="s">
        <v>2222</v>
      </c>
      <c r="E806" t="s">
        <v>646</v>
      </c>
      <c r="F806" t="s">
        <v>244</v>
      </c>
      <c r="G806" t="s">
        <v>647</v>
      </c>
      <c r="H806" t="s">
        <v>41</v>
      </c>
      <c r="I806" t="s">
        <v>23</v>
      </c>
      <c r="J806" s="1">
        <v>36090</v>
      </c>
      <c r="K806" t="s">
        <v>23</v>
      </c>
      <c r="L806" t="s">
        <v>2459</v>
      </c>
      <c r="M806" t="s">
        <v>2460</v>
      </c>
      <c r="N806">
        <v>2</v>
      </c>
      <c r="O806">
        <v>116412.5</v>
      </c>
    </row>
    <row r="807" spans="1:15" x14ac:dyDescent="0.35">
      <c r="A807" t="s">
        <v>15</v>
      </c>
      <c r="B807" t="s">
        <v>16</v>
      </c>
      <c r="C807" t="s">
        <v>36</v>
      </c>
      <c r="D807" t="s">
        <v>864</v>
      </c>
      <c r="E807" t="s">
        <v>688</v>
      </c>
      <c r="F807" t="s">
        <v>312</v>
      </c>
      <c r="G807" t="s">
        <v>866</v>
      </c>
      <c r="H807" t="s">
        <v>41</v>
      </c>
      <c r="I807" t="s">
        <v>58</v>
      </c>
      <c r="J807">
        <v>180</v>
      </c>
      <c r="K807" t="s">
        <v>58</v>
      </c>
      <c r="L807" t="s">
        <v>2005</v>
      </c>
      <c r="M807" t="s">
        <v>2454</v>
      </c>
      <c r="N807">
        <v>4</v>
      </c>
      <c r="O807">
        <v>19777</v>
      </c>
    </row>
    <row r="808" spans="1:15" x14ac:dyDescent="0.35">
      <c r="A808" t="s">
        <v>15</v>
      </c>
      <c r="B808" t="s">
        <v>69</v>
      </c>
      <c r="C808" t="s">
        <v>61</v>
      </c>
      <c r="D808" t="s">
        <v>650</v>
      </c>
      <c r="E808" t="s">
        <v>2461</v>
      </c>
      <c r="F808" t="s">
        <v>856</v>
      </c>
      <c r="G808" t="s">
        <v>95</v>
      </c>
      <c r="H808" t="s">
        <v>57</v>
      </c>
      <c r="I808" t="s">
        <v>23</v>
      </c>
      <c r="J808" s="1">
        <v>274250</v>
      </c>
      <c r="K808" t="s">
        <v>2462</v>
      </c>
      <c r="L808" t="s">
        <v>2463</v>
      </c>
      <c r="M808" t="s">
        <v>2464</v>
      </c>
      <c r="N808">
        <v>23</v>
      </c>
      <c r="O808">
        <v>139286</v>
      </c>
    </row>
    <row r="809" spans="1:15" x14ac:dyDescent="0.35">
      <c r="A809" t="s">
        <v>15</v>
      </c>
      <c r="B809" t="s">
        <v>16</v>
      </c>
      <c r="C809" t="s">
        <v>61</v>
      </c>
      <c r="D809" t="s">
        <v>609</v>
      </c>
      <c r="E809" t="s">
        <v>63</v>
      </c>
      <c r="F809" t="s">
        <v>64</v>
      </c>
      <c r="G809" t="s">
        <v>610</v>
      </c>
      <c r="H809" t="s">
        <v>115</v>
      </c>
      <c r="I809" t="s">
        <v>58</v>
      </c>
      <c r="J809" s="1">
        <v>76030</v>
      </c>
      <c r="K809" t="s">
        <v>58</v>
      </c>
      <c r="L809" t="s">
        <v>2465</v>
      </c>
      <c r="M809" t="s">
        <v>2466</v>
      </c>
      <c r="N809">
        <v>3</v>
      </c>
      <c r="O809">
        <v>83059.5</v>
      </c>
    </row>
    <row r="810" spans="1:15" x14ac:dyDescent="0.35">
      <c r="A810" t="s">
        <v>15</v>
      </c>
      <c r="B810" t="s">
        <v>16</v>
      </c>
      <c r="C810" t="s">
        <v>36</v>
      </c>
      <c r="D810" t="s">
        <v>694</v>
      </c>
      <c r="E810" t="s">
        <v>2467</v>
      </c>
      <c r="F810" t="s">
        <v>39</v>
      </c>
      <c r="G810" t="s">
        <v>580</v>
      </c>
      <c r="H810" t="s">
        <v>41</v>
      </c>
      <c r="I810" t="s">
        <v>23</v>
      </c>
      <c r="J810" s="1">
        <v>26030</v>
      </c>
      <c r="K810" t="s">
        <v>2034</v>
      </c>
      <c r="L810" t="s">
        <v>2173</v>
      </c>
      <c r="M810" t="s">
        <v>2468</v>
      </c>
      <c r="O810">
        <v>114169</v>
      </c>
    </row>
    <row r="811" spans="1:15" x14ac:dyDescent="0.35">
      <c r="A811" t="s">
        <v>15</v>
      </c>
      <c r="B811" t="s">
        <v>16</v>
      </c>
      <c r="C811" t="s">
        <v>17</v>
      </c>
      <c r="D811" t="s">
        <v>257</v>
      </c>
      <c r="E811" t="s">
        <v>258</v>
      </c>
      <c r="F811" t="s">
        <v>196</v>
      </c>
      <c r="G811" t="s">
        <v>90</v>
      </c>
      <c r="H811" t="s">
        <v>41</v>
      </c>
      <c r="I811" t="s">
        <v>23</v>
      </c>
      <c r="J811" s="1">
        <v>5030</v>
      </c>
      <c r="K811" t="s">
        <v>2057</v>
      </c>
      <c r="L811" t="s">
        <v>2469</v>
      </c>
      <c r="M811" t="s">
        <v>60</v>
      </c>
      <c r="N811">
        <v>7</v>
      </c>
      <c r="O811">
        <v>152073.5</v>
      </c>
    </row>
    <row r="812" spans="1:15" x14ac:dyDescent="0.35">
      <c r="A812" t="s">
        <v>15</v>
      </c>
      <c r="B812" t="s">
        <v>99</v>
      </c>
      <c r="C812" t="s">
        <v>17</v>
      </c>
      <c r="D812" t="s">
        <v>45</v>
      </c>
      <c r="E812" t="s">
        <v>2470</v>
      </c>
      <c r="F812" t="s">
        <v>196</v>
      </c>
      <c r="G812" t="s">
        <v>48</v>
      </c>
      <c r="H812" t="s">
        <v>41</v>
      </c>
      <c r="I812" t="s">
        <v>23</v>
      </c>
      <c r="J812" s="1">
        <v>34640</v>
      </c>
      <c r="K812" t="s">
        <v>2471</v>
      </c>
      <c r="L812" t="s">
        <v>2472</v>
      </c>
      <c r="M812" t="s">
        <v>2473</v>
      </c>
      <c r="N812">
        <v>7</v>
      </c>
      <c r="O812">
        <v>34617</v>
      </c>
    </row>
    <row r="813" spans="1:15" x14ac:dyDescent="0.35">
      <c r="A813" t="s">
        <v>75</v>
      </c>
      <c r="B813" t="s">
        <v>16</v>
      </c>
      <c r="C813" t="s">
        <v>36</v>
      </c>
      <c r="D813" t="s">
        <v>410</v>
      </c>
      <c r="E813" t="s">
        <v>411</v>
      </c>
      <c r="F813" t="s">
        <v>196</v>
      </c>
      <c r="G813" t="s">
        <v>412</v>
      </c>
      <c r="H813" t="s">
        <v>41</v>
      </c>
      <c r="I813" t="s">
        <v>58</v>
      </c>
      <c r="J813">
        <v>900</v>
      </c>
      <c r="K813" t="s">
        <v>413</v>
      </c>
      <c r="L813" t="s">
        <v>2474</v>
      </c>
      <c r="M813" t="s">
        <v>60</v>
      </c>
      <c r="N813">
        <v>7</v>
      </c>
      <c r="O813">
        <v>209974.5</v>
      </c>
    </row>
    <row r="814" spans="1:15" x14ac:dyDescent="0.35">
      <c r="A814" t="s">
        <v>15</v>
      </c>
      <c r="B814" t="s">
        <v>16</v>
      </c>
      <c r="C814" t="s">
        <v>36</v>
      </c>
      <c r="D814" t="s">
        <v>1914</v>
      </c>
      <c r="E814" t="s">
        <v>128</v>
      </c>
      <c r="F814" t="s">
        <v>244</v>
      </c>
      <c r="G814" t="s">
        <v>946</v>
      </c>
      <c r="H814" t="s">
        <v>22</v>
      </c>
      <c r="I814" t="s">
        <v>23</v>
      </c>
      <c r="J814" s="1">
        <v>409050</v>
      </c>
      <c r="K814" t="s">
        <v>2269</v>
      </c>
      <c r="L814" t="s">
        <v>2475</v>
      </c>
      <c r="M814" t="s">
        <v>2476</v>
      </c>
      <c r="N814">
        <v>2</v>
      </c>
      <c r="O814">
        <v>44706.5</v>
      </c>
    </row>
    <row r="815" spans="1:15" x14ac:dyDescent="0.35">
      <c r="A815" t="s">
        <v>75</v>
      </c>
      <c r="B815" t="s">
        <v>69</v>
      </c>
      <c r="C815" t="s">
        <v>36</v>
      </c>
      <c r="D815" t="s">
        <v>2401</v>
      </c>
      <c r="E815" t="s">
        <v>2044</v>
      </c>
      <c r="F815" t="s">
        <v>125</v>
      </c>
      <c r="G815" t="s">
        <v>2403</v>
      </c>
      <c r="H815" t="s">
        <v>41</v>
      </c>
      <c r="I815" t="s">
        <v>58</v>
      </c>
      <c r="J815" s="1">
        <v>110010</v>
      </c>
      <c r="K815" t="s">
        <v>2477</v>
      </c>
      <c r="L815" t="s">
        <v>2478</v>
      </c>
      <c r="M815" t="s">
        <v>147</v>
      </c>
      <c r="N815">
        <v>14</v>
      </c>
      <c r="O815">
        <v>174677.5</v>
      </c>
    </row>
    <row r="816" spans="1:15" x14ac:dyDescent="0.35">
      <c r="A816" t="s">
        <v>15</v>
      </c>
      <c r="B816" t="s">
        <v>16</v>
      </c>
      <c r="C816" t="s">
        <v>17</v>
      </c>
      <c r="D816" t="s">
        <v>1600</v>
      </c>
      <c r="E816" t="s">
        <v>2479</v>
      </c>
      <c r="F816" t="s">
        <v>64</v>
      </c>
      <c r="G816" t="s">
        <v>1236</v>
      </c>
      <c r="H816" t="s">
        <v>41</v>
      </c>
      <c r="I816" t="s">
        <v>58</v>
      </c>
      <c r="J816" s="1">
        <v>263560</v>
      </c>
      <c r="K816" t="s">
        <v>2084</v>
      </c>
      <c r="L816" t="s">
        <v>2480</v>
      </c>
      <c r="M816" t="s">
        <v>2481</v>
      </c>
      <c r="N816">
        <v>3</v>
      </c>
      <c r="O816">
        <v>73983</v>
      </c>
    </row>
    <row r="817" spans="1:15" x14ac:dyDescent="0.35">
      <c r="A817" t="s">
        <v>15</v>
      </c>
      <c r="B817" t="s">
        <v>16</v>
      </c>
      <c r="C817" t="s">
        <v>61</v>
      </c>
      <c r="D817" t="s">
        <v>371</v>
      </c>
      <c r="E817" t="s">
        <v>2259</v>
      </c>
      <c r="F817" t="s">
        <v>39</v>
      </c>
      <c r="G817" t="s">
        <v>204</v>
      </c>
      <c r="H817" t="s">
        <v>22</v>
      </c>
      <c r="I817" t="s">
        <v>23</v>
      </c>
      <c r="J817" s="1">
        <v>865456</v>
      </c>
      <c r="K817" t="s">
        <v>2260</v>
      </c>
      <c r="L817" t="s">
        <v>2482</v>
      </c>
      <c r="M817" t="s">
        <v>1373</v>
      </c>
      <c r="O817">
        <v>168974</v>
      </c>
    </row>
    <row r="818" spans="1:15" x14ac:dyDescent="0.35">
      <c r="A818" t="s">
        <v>15</v>
      </c>
      <c r="B818" t="s">
        <v>16</v>
      </c>
      <c r="C818" t="s">
        <v>17</v>
      </c>
      <c r="D818" t="s">
        <v>480</v>
      </c>
      <c r="E818" t="s">
        <v>1214</v>
      </c>
      <c r="F818" t="s">
        <v>196</v>
      </c>
      <c r="G818" t="s">
        <v>482</v>
      </c>
      <c r="H818" t="s">
        <v>41</v>
      </c>
      <c r="I818" t="s">
        <v>58</v>
      </c>
      <c r="J818" s="1">
        <v>3800</v>
      </c>
      <c r="K818" t="s">
        <v>58</v>
      </c>
      <c r="L818" t="s">
        <v>643</v>
      </c>
      <c r="M818" t="s">
        <v>51</v>
      </c>
      <c r="N818">
        <v>7</v>
      </c>
      <c r="O818">
        <v>98643</v>
      </c>
    </row>
    <row r="819" spans="1:15" x14ac:dyDescent="0.35">
      <c r="A819" t="s">
        <v>15</v>
      </c>
      <c r="B819" t="s">
        <v>16</v>
      </c>
      <c r="C819" t="s">
        <v>36</v>
      </c>
      <c r="D819" t="s">
        <v>703</v>
      </c>
      <c r="E819" t="s">
        <v>94</v>
      </c>
      <c r="F819" t="s">
        <v>847</v>
      </c>
      <c r="G819" t="s">
        <v>169</v>
      </c>
      <c r="H819" t="s">
        <v>41</v>
      </c>
      <c r="I819" t="s">
        <v>23</v>
      </c>
      <c r="J819" s="1">
        <v>261010</v>
      </c>
      <c r="K819" t="s">
        <v>2483</v>
      </c>
      <c r="L819" t="s">
        <v>2484</v>
      </c>
      <c r="M819" t="s">
        <v>2019</v>
      </c>
      <c r="N819">
        <v>16</v>
      </c>
      <c r="O819">
        <v>118055.5</v>
      </c>
    </row>
    <row r="820" spans="1:15" x14ac:dyDescent="0.35">
      <c r="A820" t="s">
        <v>15</v>
      </c>
      <c r="B820" t="s">
        <v>16</v>
      </c>
      <c r="C820" t="s">
        <v>36</v>
      </c>
      <c r="D820" t="s">
        <v>742</v>
      </c>
      <c r="E820" t="s">
        <v>743</v>
      </c>
      <c r="F820" t="s">
        <v>125</v>
      </c>
      <c r="G820" t="s">
        <v>744</v>
      </c>
      <c r="H820" t="s">
        <v>41</v>
      </c>
      <c r="I820" t="s">
        <v>23</v>
      </c>
      <c r="J820" s="1">
        <v>182308</v>
      </c>
      <c r="K820" t="s">
        <v>745</v>
      </c>
      <c r="L820" t="s">
        <v>2485</v>
      </c>
      <c r="M820" t="s">
        <v>659</v>
      </c>
      <c r="N820">
        <v>14</v>
      </c>
      <c r="O820">
        <v>190163.5</v>
      </c>
    </row>
    <row r="821" spans="1:15" x14ac:dyDescent="0.35">
      <c r="A821" t="s">
        <v>15</v>
      </c>
      <c r="B821" t="s">
        <v>16</v>
      </c>
      <c r="C821" t="s">
        <v>61</v>
      </c>
      <c r="D821" t="s">
        <v>655</v>
      </c>
      <c r="E821" t="s">
        <v>1071</v>
      </c>
      <c r="F821" t="s">
        <v>244</v>
      </c>
      <c r="G821" t="s">
        <v>656</v>
      </c>
      <c r="H821" t="s">
        <v>115</v>
      </c>
      <c r="I821" t="s">
        <v>23</v>
      </c>
      <c r="J821" s="1">
        <v>300050</v>
      </c>
      <c r="K821" t="s">
        <v>2486</v>
      </c>
      <c r="L821" t="s">
        <v>2487</v>
      </c>
      <c r="M821" t="s">
        <v>1986</v>
      </c>
      <c r="N821">
        <v>2</v>
      </c>
      <c r="O821">
        <v>197554</v>
      </c>
    </row>
    <row r="822" spans="1:15" x14ac:dyDescent="0.35">
      <c r="A822" t="s">
        <v>15</v>
      </c>
      <c r="B822" t="s">
        <v>16</v>
      </c>
      <c r="C822" t="s">
        <v>82</v>
      </c>
      <c r="D822" t="s">
        <v>127</v>
      </c>
      <c r="E822" t="s">
        <v>1855</v>
      </c>
      <c r="F822" t="s">
        <v>196</v>
      </c>
      <c r="G822" t="s">
        <v>129</v>
      </c>
      <c r="H822" t="s">
        <v>41</v>
      </c>
      <c r="I822" t="s">
        <v>23</v>
      </c>
      <c r="J822" s="1">
        <v>132000</v>
      </c>
      <c r="K822" t="s">
        <v>130</v>
      </c>
      <c r="L822" t="s">
        <v>2488</v>
      </c>
      <c r="M822" t="s">
        <v>1858</v>
      </c>
      <c r="N822">
        <v>7</v>
      </c>
      <c r="O822">
        <v>52506</v>
      </c>
    </row>
    <row r="823" spans="1:15" x14ac:dyDescent="0.35">
      <c r="A823" t="s">
        <v>15</v>
      </c>
      <c r="B823" t="s">
        <v>16</v>
      </c>
      <c r="C823" t="s">
        <v>61</v>
      </c>
      <c r="D823" t="s">
        <v>2275</v>
      </c>
      <c r="E823" t="s">
        <v>340</v>
      </c>
      <c r="F823" t="s">
        <v>394</v>
      </c>
      <c r="G823" t="s">
        <v>2276</v>
      </c>
      <c r="H823" t="s">
        <v>41</v>
      </c>
      <c r="I823" t="s">
        <v>58</v>
      </c>
      <c r="J823">
        <v>590</v>
      </c>
      <c r="K823" t="s">
        <v>58</v>
      </c>
      <c r="L823" t="s">
        <v>2489</v>
      </c>
      <c r="M823" t="s">
        <v>2490</v>
      </c>
      <c r="N823">
        <v>11</v>
      </c>
      <c r="O823">
        <v>23239</v>
      </c>
    </row>
    <row r="824" spans="1:15" x14ac:dyDescent="0.35">
      <c r="A824" t="s">
        <v>15</v>
      </c>
      <c r="B824" t="s">
        <v>52</v>
      </c>
      <c r="C824" t="s">
        <v>82</v>
      </c>
      <c r="D824" t="s">
        <v>436</v>
      </c>
      <c r="E824" t="s">
        <v>84</v>
      </c>
      <c r="F824" t="s">
        <v>341</v>
      </c>
      <c r="G824" t="s">
        <v>90</v>
      </c>
      <c r="H824" t="s">
        <v>41</v>
      </c>
      <c r="I824" t="s">
        <v>23</v>
      </c>
      <c r="J824" s="1">
        <v>4110</v>
      </c>
      <c r="K824" t="s">
        <v>1800</v>
      </c>
      <c r="L824" t="s">
        <v>2491</v>
      </c>
      <c r="M824" t="s">
        <v>60</v>
      </c>
      <c r="N824">
        <v>2</v>
      </c>
      <c r="O824">
        <v>168738.5</v>
      </c>
    </row>
    <row r="825" spans="1:15" x14ac:dyDescent="0.35">
      <c r="A825" t="s">
        <v>15</v>
      </c>
      <c r="B825" t="s">
        <v>16</v>
      </c>
      <c r="C825" t="s">
        <v>17</v>
      </c>
      <c r="D825" t="s">
        <v>45</v>
      </c>
      <c r="E825" t="s">
        <v>335</v>
      </c>
      <c r="F825" t="s">
        <v>47</v>
      </c>
      <c r="G825" t="s">
        <v>48</v>
      </c>
      <c r="H825" t="s">
        <v>41</v>
      </c>
      <c r="I825" t="s">
        <v>23</v>
      </c>
      <c r="J825" s="1">
        <v>34680</v>
      </c>
      <c r="K825" t="s">
        <v>2492</v>
      </c>
      <c r="L825" t="s">
        <v>2493</v>
      </c>
      <c r="M825" t="s">
        <v>60</v>
      </c>
      <c r="N825">
        <v>8</v>
      </c>
      <c r="O825">
        <v>40368</v>
      </c>
    </row>
    <row r="826" spans="1:15" x14ac:dyDescent="0.35">
      <c r="A826" t="s">
        <v>15</v>
      </c>
      <c r="B826" t="s">
        <v>99</v>
      </c>
      <c r="C826" t="s">
        <v>17</v>
      </c>
      <c r="D826" t="s">
        <v>1918</v>
      </c>
      <c r="E826" t="s">
        <v>2494</v>
      </c>
      <c r="F826" t="s">
        <v>47</v>
      </c>
      <c r="G826" t="s">
        <v>921</v>
      </c>
      <c r="H826" t="s">
        <v>41</v>
      </c>
      <c r="I826" t="s">
        <v>23</v>
      </c>
      <c r="J826" s="1">
        <v>27010</v>
      </c>
      <c r="K826" t="s">
        <v>23</v>
      </c>
      <c r="L826" t="s">
        <v>2495</v>
      </c>
      <c r="M826" t="s">
        <v>2278</v>
      </c>
      <c r="N826">
        <v>8</v>
      </c>
      <c r="O826">
        <v>116654.5</v>
      </c>
    </row>
    <row r="827" spans="1:15" x14ac:dyDescent="0.35">
      <c r="A827" t="s">
        <v>15</v>
      </c>
      <c r="B827" t="s">
        <v>99</v>
      </c>
      <c r="C827" t="s">
        <v>36</v>
      </c>
      <c r="D827" t="s">
        <v>920</v>
      </c>
      <c r="E827" t="s">
        <v>2496</v>
      </c>
      <c r="F827" t="s">
        <v>39</v>
      </c>
      <c r="G827" t="s">
        <v>921</v>
      </c>
      <c r="H827" t="s">
        <v>22</v>
      </c>
      <c r="I827" t="s">
        <v>23</v>
      </c>
      <c r="J827" s="1">
        <v>55090</v>
      </c>
      <c r="K827" t="s">
        <v>2497</v>
      </c>
      <c r="L827" t="s">
        <v>2498</v>
      </c>
      <c r="M827" t="s">
        <v>1726</v>
      </c>
      <c r="O827">
        <v>170379</v>
      </c>
    </row>
    <row r="828" spans="1:15" x14ac:dyDescent="0.35">
      <c r="A828" t="s">
        <v>15</v>
      </c>
      <c r="B828" t="s">
        <v>16</v>
      </c>
      <c r="C828" t="s">
        <v>36</v>
      </c>
      <c r="D828" t="s">
        <v>18</v>
      </c>
      <c r="E828" t="s">
        <v>2499</v>
      </c>
      <c r="F828" t="s">
        <v>1149</v>
      </c>
      <c r="G828" t="s">
        <v>21</v>
      </c>
      <c r="H828" t="s">
        <v>22</v>
      </c>
      <c r="I828" t="s">
        <v>23</v>
      </c>
      <c r="J828" t="s">
        <v>2500</v>
      </c>
      <c r="K828" t="s">
        <v>23</v>
      </c>
      <c r="L828" t="s">
        <v>2501</v>
      </c>
      <c r="M828" t="s">
        <v>2127</v>
      </c>
      <c r="N828">
        <v>18</v>
      </c>
      <c r="O828">
        <v>124193.5</v>
      </c>
    </row>
    <row r="829" spans="1:15" x14ac:dyDescent="0.35">
      <c r="A829" t="s">
        <v>75</v>
      </c>
      <c r="B829" t="s">
        <v>16</v>
      </c>
      <c r="C829" t="s">
        <v>61</v>
      </c>
      <c r="D829" t="s">
        <v>1802</v>
      </c>
      <c r="E829" t="s">
        <v>128</v>
      </c>
      <c r="F829" t="s">
        <v>47</v>
      </c>
      <c r="G829" t="s">
        <v>1803</v>
      </c>
      <c r="H829" t="s">
        <v>41</v>
      </c>
      <c r="I829" t="s">
        <v>23</v>
      </c>
      <c r="J829" s="1">
        <v>492205</v>
      </c>
      <c r="K829" t="s">
        <v>2502</v>
      </c>
      <c r="L829" t="s">
        <v>2503</v>
      </c>
      <c r="M829" t="s">
        <v>874</v>
      </c>
      <c r="N829">
        <v>8</v>
      </c>
      <c r="O829">
        <v>20441</v>
      </c>
    </row>
    <row r="830" spans="1:15" x14ac:dyDescent="0.35">
      <c r="A830" t="s">
        <v>15</v>
      </c>
      <c r="B830" t="s">
        <v>16</v>
      </c>
      <c r="C830" t="s">
        <v>17</v>
      </c>
      <c r="D830" t="s">
        <v>45</v>
      </c>
      <c r="E830" t="s">
        <v>2504</v>
      </c>
      <c r="F830" t="s">
        <v>64</v>
      </c>
      <c r="G830" t="s">
        <v>48</v>
      </c>
      <c r="H830" t="s">
        <v>41</v>
      </c>
      <c r="I830" t="s">
        <v>23</v>
      </c>
      <c r="J830" s="1">
        <v>34690</v>
      </c>
      <c r="K830" t="s">
        <v>2505</v>
      </c>
      <c r="L830" t="s">
        <v>2506</v>
      </c>
      <c r="M830" t="s">
        <v>2507</v>
      </c>
      <c r="N830">
        <v>3</v>
      </c>
      <c r="O830">
        <v>154712</v>
      </c>
    </row>
    <row r="831" spans="1:15" x14ac:dyDescent="0.35">
      <c r="A831" t="s">
        <v>15</v>
      </c>
      <c r="B831" t="s">
        <v>99</v>
      </c>
      <c r="C831" t="s">
        <v>17</v>
      </c>
      <c r="D831" t="s">
        <v>1918</v>
      </c>
      <c r="E831" t="s">
        <v>1919</v>
      </c>
      <c r="F831" t="s">
        <v>85</v>
      </c>
      <c r="G831" t="s">
        <v>921</v>
      </c>
      <c r="H831" t="s">
        <v>41</v>
      </c>
      <c r="I831" t="s">
        <v>23</v>
      </c>
      <c r="J831" s="1">
        <v>27030</v>
      </c>
      <c r="K831" t="s">
        <v>23</v>
      </c>
      <c r="L831" t="s">
        <v>2508</v>
      </c>
      <c r="M831" t="s">
        <v>1921</v>
      </c>
      <c r="N831">
        <v>6</v>
      </c>
      <c r="O831">
        <v>116656.5</v>
      </c>
    </row>
    <row r="832" spans="1:15" x14ac:dyDescent="0.35">
      <c r="A832" t="s">
        <v>15</v>
      </c>
      <c r="B832" t="s">
        <v>16</v>
      </c>
      <c r="C832" t="s">
        <v>36</v>
      </c>
      <c r="D832" t="s">
        <v>18</v>
      </c>
      <c r="E832" t="s">
        <v>2049</v>
      </c>
      <c r="F832" t="s">
        <v>20</v>
      </c>
      <c r="G832" t="s">
        <v>21</v>
      </c>
      <c r="H832" t="s">
        <v>22</v>
      </c>
      <c r="I832" t="s">
        <v>23</v>
      </c>
      <c r="J832" t="s">
        <v>2500</v>
      </c>
      <c r="K832" t="s">
        <v>23</v>
      </c>
      <c r="L832" t="s">
        <v>2509</v>
      </c>
      <c r="M832" t="s">
        <v>2510</v>
      </c>
      <c r="N832">
        <v>17</v>
      </c>
      <c r="O832">
        <v>161453</v>
      </c>
    </row>
    <row r="833" spans="1:15" x14ac:dyDescent="0.35">
      <c r="A833" t="s">
        <v>15</v>
      </c>
      <c r="B833" t="s">
        <v>16</v>
      </c>
      <c r="C833" t="s">
        <v>36</v>
      </c>
      <c r="D833" t="s">
        <v>18</v>
      </c>
      <c r="E833" t="s">
        <v>2049</v>
      </c>
      <c r="F833" t="s">
        <v>20</v>
      </c>
      <c r="G833" t="s">
        <v>21</v>
      </c>
      <c r="H833" t="s">
        <v>22</v>
      </c>
      <c r="I833" t="s">
        <v>23</v>
      </c>
      <c r="J833" t="s">
        <v>2500</v>
      </c>
      <c r="K833" t="s">
        <v>23</v>
      </c>
      <c r="L833" t="s">
        <v>2511</v>
      </c>
      <c r="M833" t="s">
        <v>2510</v>
      </c>
      <c r="N833">
        <v>17</v>
      </c>
      <c r="O833">
        <v>197330</v>
      </c>
    </row>
    <row r="834" spans="1:15" x14ac:dyDescent="0.35">
      <c r="A834" t="s">
        <v>15</v>
      </c>
      <c r="B834" t="s">
        <v>99</v>
      </c>
      <c r="C834" t="s">
        <v>36</v>
      </c>
      <c r="D834" t="s">
        <v>1736</v>
      </c>
      <c r="E834" t="s">
        <v>2512</v>
      </c>
      <c r="F834" t="s">
        <v>399</v>
      </c>
      <c r="G834" t="s">
        <v>412</v>
      </c>
      <c r="H834" t="s">
        <v>41</v>
      </c>
      <c r="I834" t="s">
        <v>23</v>
      </c>
      <c r="J834" s="1">
        <v>258780</v>
      </c>
      <c r="K834" t="s">
        <v>2513</v>
      </c>
      <c r="L834" t="s">
        <v>2514</v>
      </c>
      <c r="M834" t="s">
        <v>51</v>
      </c>
      <c r="N834">
        <v>5</v>
      </c>
      <c r="O834">
        <v>188588.5</v>
      </c>
    </row>
    <row r="835" spans="1:15" x14ac:dyDescent="0.35">
      <c r="A835" t="s">
        <v>15</v>
      </c>
      <c r="B835" t="s">
        <v>16</v>
      </c>
      <c r="C835" t="s">
        <v>36</v>
      </c>
      <c r="D835" t="s">
        <v>371</v>
      </c>
      <c r="E835" t="s">
        <v>2515</v>
      </c>
      <c r="F835" t="s">
        <v>1149</v>
      </c>
      <c r="G835" t="s">
        <v>204</v>
      </c>
      <c r="H835" t="s">
        <v>22</v>
      </c>
      <c r="I835" t="s">
        <v>23</v>
      </c>
      <c r="J835" s="1">
        <v>865436</v>
      </c>
      <c r="K835" t="s">
        <v>2516</v>
      </c>
      <c r="L835" t="s">
        <v>2517</v>
      </c>
      <c r="M835" t="s">
        <v>2518</v>
      </c>
      <c r="N835">
        <v>18</v>
      </c>
      <c r="O835">
        <v>160991</v>
      </c>
    </row>
    <row r="836" spans="1:15" x14ac:dyDescent="0.35">
      <c r="A836" t="s">
        <v>15</v>
      </c>
      <c r="B836" t="s">
        <v>16</v>
      </c>
      <c r="C836" t="s">
        <v>36</v>
      </c>
      <c r="D836" t="s">
        <v>371</v>
      </c>
      <c r="E836" t="s">
        <v>2519</v>
      </c>
      <c r="F836" t="s">
        <v>39</v>
      </c>
      <c r="G836" t="s">
        <v>204</v>
      </c>
      <c r="H836" t="s">
        <v>22</v>
      </c>
      <c r="I836" t="s">
        <v>23</v>
      </c>
      <c r="J836" s="1">
        <v>865466</v>
      </c>
      <c r="K836" t="s">
        <v>2520</v>
      </c>
      <c r="L836" t="s">
        <v>2521</v>
      </c>
      <c r="M836" t="s">
        <v>1512</v>
      </c>
      <c r="O836">
        <v>164677.5</v>
      </c>
    </row>
    <row r="837" spans="1:15" x14ac:dyDescent="0.35">
      <c r="A837" t="s">
        <v>75</v>
      </c>
      <c r="B837" t="s">
        <v>99</v>
      </c>
      <c r="C837" t="s">
        <v>61</v>
      </c>
      <c r="D837" t="s">
        <v>1802</v>
      </c>
      <c r="E837" t="s">
        <v>128</v>
      </c>
      <c r="F837" t="s">
        <v>30</v>
      </c>
      <c r="G837" t="s">
        <v>1803</v>
      </c>
      <c r="H837" t="s">
        <v>41</v>
      </c>
      <c r="I837" t="s">
        <v>23</v>
      </c>
      <c r="J837" s="1">
        <v>492195</v>
      </c>
      <c r="K837" t="s">
        <v>2522</v>
      </c>
      <c r="L837" t="s">
        <v>2523</v>
      </c>
      <c r="M837" t="s">
        <v>659</v>
      </c>
      <c r="N837">
        <v>15</v>
      </c>
      <c r="O837">
        <v>18492.5</v>
      </c>
    </row>
    <row r="838" spans="1:15" x14ac:dyDescent="0.35">
      <c r="A838" t="s">
        <v>15</v>
      </c>
      <c r="B838" t="s">
        <v>16</v>
      </c>
      <c r="C838" t="s">
        <v>36</v>
      </c>
      <c r="D838" t="s">
        <v>18</v>
      </c>
      <c r="E838" t="s">
        <v>2049</v>
      </c>
      <c r="F838" t="s">
        <v>196</v>
      </c>
      <c r="G838" t="s">
        <v>21</v>
      </c>
      <c r="H838" t="s">
        <v>22</v>
      </c>
      <c r="I838" t="s">
        <v>23</v>
      </c>
      <c r="J838" t="s">
        <v>2500</v>
      </c>
      <c r="K838" t="s">
        <v>23</v>
      </c>
      <c r="L838" t="s">
        <v>2524</v>
      </c>
      <c r="M838" t="s">
        <v>2051</v>
      </c>
      <c r="N838">
        <v>7</v>
      </c>
      <c r="O838">
        <v>161457</v>
      </c>
    </row>
    <row r="839" spans="1:15" x14ac:dyDescent="0.35">
      <c r="A839" t="s">
        <v>15</v>
      </c>
      <c r="B839" t="s">
        <v>16</v>
      </c>
      <c r="C839" t="s">
        <v>17</v>
      </c>
      <c r="D839" t="s">
        <v>1918</v>
      </c>
      <c r="E839" t="s">
        <v>272</v>
      </c>
      <c r="F839" t="s">
        <v>89</v>
      </c>
      <c r="G839" t="s">
        <v>921</v>
      </c>
      <c r="H839" t="s">
        <v>41</v>
      </c>
      <c r="I839" t="s">
        <v>23</v>
      </c>
      <c r="J839" s="1">
        <v>27060</v>
      </c>
      <c r="K839" t="s">
        <v>23</v>
      </c>
      <c r="L839" t="s">
        <v>2525</v>
      </c>
      <c r="M839" t="s">
        <v>1636</v>
      </c>
      <c r="O839">
        <v>149036.5</v>
      </c>
    </row>
    <row r="840" spans="1:15" x14ac:dyDescent="0.35">
      <c r="A840" t="s">
        <v>15</v>
      </c>
      <c r="B840" t="s">
        <v>99</v>
      </c>
      <c r="C840" t="s">
        <v>17</v>
      </c>
      <c r="D840" t="s">
        <v>920</v>
      </c>
      <c r="E840" t="s">
        <v>2526</v>
      </c>
      <c r="F840" t="s">
        <v>125</v>
      </c>
      <c r="G840" t="s">
        <v>921</v>
      </c>
      <c r="H840" t="s">
        <v>22</v>
      </c>
      <c r="I840" t="s">
        <v>23</v>
      </c>
      <c r="J840" s="1">
        <v>55110</v>
      </c>
      <c r="K840" t="s">
        <v>2527</v>
      </c>
      <c r="L840" t="s">
        <v>2528</v>
      </c>
      <c r="M840" t="s">
        <v>1726</v>
      </c>
      <c r="N840">
        <v>14</v>
      </c>
      <c r="O840">
        <v>156208</v>
      </c>
    </row>
    <row r="841" spans="1:15" x14ac:dyDescent="0.35">
      <c r="A841" t="s">
        <v>15</v>
      </c>
      <c r="B841" t="s">
        <v>16</v>
      </c>
      <c r="C841" t="s">
        <v>17</v>
      </c>
      <c r="D841" t="s">
        <v>45</v>
      </c>
      <c r="E841" t="s">
        <v>776</v>
      </c>
      <c r="F841" t="s">
        <v>39</v>
      </c>
      <c r="G841" t="s">
        <v>48</v>
      </c>
      <c r="H841" t="s">
        <v>41</v>
      </c>
      <c r="I841" t="s">
        <v>23</v>
      </c>
      <c r="J841" s="1">
        <v>34670</v>
      </c>
      <c r="K841" t="s">
        <v>2492</v>
      </c>
      <c r="L841" t="s">
        <v>2529</v>
      </c>
      <c r="M841" t="s">
        <v>60</v>
      </c>
      <c r="O841">
        <v>190821.5</v>
      </c>
    </row>
    <row r="842" spans="1:15" x14ac:dyDescent="0.35">
      <c r="A842" t="s">
        <v>15</v>
      </c>
      <c r="B842" t="s">
        <v>16</v>
      </c>
      <c r="C842" t="s">
        <v>36</v>
      </c>
      <c r="D842" t="s">
        <v>1736</v>
      </c>
      <c r="E842" t="s">
        <v>2530</v>
      </c>
      <c r="F842" t="s">
        <v>30</v>
      </c>
      <c r="G842" t="s">
        <v>412</v>
      </c>
      <c r="H842" t="s">
        <v>41</v>
      </c>
      <c r="I842" t="s">
        <v>23</v>
      </c>
      <c r="J842" s="1">
        <v>258790</v>
      </c>
      <c r="K842" t="s">
        <v>2531</v>
      </c>
      <c r="L842" t="s">
        <v>2532</v>
      </c>
      <c r="M842" t="s">
        <v>51</v>
      </c>
      <c r="N842">
        <v>15</v>
      </c>
      <c r="O842">
        <v>251609</v>
      </c>
    </row>
    <row r="843" spans="1:15" x14ac:dyDescent="0.35">
      <c r="A843" t="s">
        <v>15</v>
      </c>
      <c r="B843" t="s">
        <v>27</v>
      </c>
      <c r="C843" t="s">
        <v>36</v>
      </c>
      <c r="D843" t="s">
        <v>601</v>
      </c>
      <c r="E843" t="s">
        <v>2533</v>
      </c>
      <c r="F843" t="s">
        <v>39</v>
      </c>
      <c r="G843" t="s">
        <v>65</v>
      </c>
      <c r="H843" t="s">
        <v>57</v>
      </c>
      <c r="I843" t="s">
        <v>23</v>
      </c>
      <c r="J843" s="1">
        <v>290790</v>
      </c>
      <c r="K843" t="s">
        <v>2534</v>
      </c>
      <c r="L843" t="s">
        <v>2535</v>
      </c>
      <c r="M843" t="s">
        <v>2536</v>
      </c>
      <c r="O843">
        <v>137997</v>
      </c>
    </row>
    <row r="844" spans="1:15" x14ac:dyDescent="0.35">
      <c r="A844" t="s">
        <v>15</v>
      </c>
      <c r="B844" t="s">
        <v>16</v>
      </c>
      <c r="C844" t="s">
        <v>61</v>
      </c>
      <c r="D844" t="s">
        <v>371</v>
      </c>
      <c r="E844" t="s">
        <v>128</v>
      </c>
      <c r="F844" t="s">
        <v>431</v>
      </c>
      <c r="G844" t="s">
        <v>204</v>
      </c>
      <c r="H844" t="s">
        <v>22</v>
      </c>
      <c r="I844" t="s">
        <v>23</v>
      </c>
      <c r="J844" s="1">
        <v>865416</v>
      </c>
      <c r="K844" t="s">
        <v>2537</v>
      </c>
      <c r="L844" t="s">
        <v>2538</v>
      </c>
      <c r="M844" t="s">
        <v>1373</v>
      </c>
      <c r="N844">
        <v>21</v>
      </c>
      <c r="O844">
        <v>70044</v>
      </c>
    </row>
    <row r="845" spans="1:15" x14ac:dyDescent="0.35">
      <c r="A845" t="s">
        <v>15</v>
      </c>
      <c r="B845" t="s">
        <v>99</v>
      </c>
      <c r="C845" t="s">
        <v>36</v>
      </c>
      <c r="D845" t="s">
        <v>920</v>
      </c>
      <c r="E845" t="s">
        <v>2539</v>
      </c>
      <c r="F845" t="s">
        <v>39</v>
      </c>
      <c r="G845" t="s">
        <v>921</v>
      </c>
      <c r="H845" t="s">
        <v>22</v>
      </c>
      <c r="I845" t="s">
        <v>23</v>
      </c>
      <c r="J845" s="1">
        <v>55130</v>
      </c>
      <c r="K845" t="s">
        <v>2540</v>
      </c>
      <c r="L845" t="s">
        <v>2541</v>
      </c>
      <c r="M845" t="s">
        <v>1726</v>
      </c>
      <c r="O845">
        <v>170373</v>
      </c>
    </row>
    <row r="846" spans="1:15" x14ac:dyDescent="0.35">
      <c r="A846" t="s">
        <v>15</v>
      </c>
      <c r="B846" t="s">
        <v>16</v>
      </c>
      <c r="C846" t="s">
        <v>61</v>
      </c>
      <c r="D846" t="s">
        <v>1531</v>
      </c>
      <c r="E846" t="s">
        <v>94</v>
      </c>
      <c r="F846" t="s">
        <v>39</v>
      </c>
      <c r="G846" t="s">
        <v>412</v>
      </c>
      <c r="H846" t="s">
        <v>41</v>
      </c>
      <c r="I846" t="s">
        <v>23</v>
      </c>
      <c r="J846" s="1">
        <v>17050</v>
      </c>
      <c r="K846" t="s">
        <v>2542</v>
      </c>
      <c r="L846" t="s">
        <v>2543</v>
      </c>
      <c r="M846" t="s">
        <v>475</v>
      </c>
      <c r="O846">
        <v>174789</v>
      </c>
    </row>
    <row r="847" spans="1:15" x14ac:dyDescent="0.35">
      <c r="A847" t="s">
        <v>15</v>
      </c>
      <c r="B847" t="s">
        <v>16</v>
      </c>
      <c r="C847" t="s">
        <v>61</v>
      </c>
      <c r="D847" t="s">
        <v>1600</v>
      </c>
      <c r="E847" t="s">
        <v>2230</v>
      </c>
      <c r="F847" t="s">
        <v>39</v>
      </c>
      <c r="G847" t="s">
        <v>1236</v>
      </c>
      <c r="H847" t="s">
        <v>41</v>
      </c>
      <c r="I847" t="s">
        <v>58</v>
      </c>
      <c r="J847" s="1">
        <v>263610</v>
      </c>
      <c r="K847" t="s">
        <v>2544</v>
      </c>
      <c r="L847" t="s">
        <v>2545</v>
      </c>
      <c r="M847" t="s">
        <v>2546</v>
      </c>
      <c r="O847">
        <v>7103.5</v>
      </c>
    </row>
    <row r="848" spans="1:15" x14ac:dyDescent="0.35">
      <c r="A848" t="s">
        <v>15</v>
      </c>
      <c r="B848" t="s">
        <v>16</v>
      </c>
      <c r="C848" t="s">
        <v>36</v>
      </c>
      <c r="D848" t="s">
        <v>1802</v>
      </c>
      <c r="E848" t="s">
        <v>732</v>
      </c>
      <c r="F848" t="s">
        <v>203</v>
      </c>
      <c r="G848" t="s">
        <v>1803</v>
      </c>
      <c r="H848" t="s">
        <v>41</v>
      </c>
      <c r="I848" t="s">
        <v>23</v>
      </c>
      <c r="J848" s="1">
        <v>492255</v>
      </c>
      <c r="K848" t="s">
        <v>2547</v>
      </c>
      <c r="L848" t="s">
        <v>2548</v>
      </c>
      <c r="M848" t="s">
        <v>200</v>
      </c>
      <c r="N848">
        <v>25</v>
      </c>
      <c r="O848">
        <v>186612.5</v>
      </c>
    </row>
    <row r="849" spans="1:15" x14ac:dyDescent="0.35">
      <c r="A849" t="s">
        <v>15</v>
      </c>
      <c r="B849" t="s">
        <v>27</v>
      </c>
      <c r="C849" t="s">
        <v>36</v>
      </c>
      <c r="D849" t="s">
        <v>664</v>
      </c>
      <c r="E849" t="s">
        <v>855</v>
      </c>
      <c r="F849" t="s">
        <v>277</v>
      </c>
      <c r="G849" t="s">
        <v>79</v>
      </c>
      <c r="H849" t="s">
        <v>41</v>
      </c>
      <c r="I849" t="s">
        <v>23</v>
      </c>
      <c r="J849" s="1">
        <v>94570</v>
      </c>
      <c r="K849" t="s">
        <v>2549</v>
      </c>
      <c r="L849" t="s">
        <v>2550</v>
      </c>
      <c r="M849" t="s">
        <v>118</v>
      </c>
      <c r="N849">
        <v>12</v>
      </c>
      <c r="O849">
        <v>224010</v>
      </c>
    </row>
    <row r="850" spans="1:15" x14ac:dyDescent="0.35">
      <c r="A850" t="s">
        <v>15</v>
      </c>
      <c r="B850" t="s">
        <v>27</v>
      </c>
      <c r="C850" t="s">
        <v>61</v>
      </c>
      <c r="D850" t="s">
        <v>601</v>
      </c>
      <c r="E850" t="s">
        <v>1814</v>
      </c>
      <c r="F850" t="s">
        <v>47</v>
      </c>
      <c r="G850" t="s">
        <v>65</v>
      </c>
      <c r="H850" t="s">
        <v>57</v>
      </c>
      <c r="I850" t="s">
        <v>23</v>
      </c>
      <c r="J850" s="1">
        <v>290800</v>
      </c>
      <c r="K850" t="s">
        <v>2551</v>
      </c>
      <c r="L850" t="s">
        <v>2552</v>
      </c>
      <c r="M850" t="s">
        <v>2553</v>
      </c>
      <c r="N850">
        <v>8</v>
      </c>
      <c r="O850">
        <v>116803</v>
      </c>
    </row>
    <row r="851" spans="1:15" x14ac:dyDescent="0.35">
      <c r="A851" t="s">
        <v>15</v>
      </c>
      <c r="B851" t="s">
        <v>16</v>
      </c>
      <c r="C851" t="s">
        <v>36</v>
      </c>
      <c r="D851" t="s">
        <v>18</v>
      </c>
      <c r="E851" t="s">
        <v>2125</v>
      </c>
      <c r="F851" t="s">
        <v>30</v>
      </c>
      <c r="G851" t="s">
        <v>21</v>
      </c>
      <c r="H851" t="s">
        <v>22</v>
      </c>
      <c r="I851" t="s">
        <v>23</v>
      </c>
      <c r="J851" t="s">
        <v>2500</v>
      </c>
      <c r="K851" t="s">
        <v>23</v>
      </c>
      <c r="L851" t="s">
        <v>2554</v>
      </c>
      <c r="M851" t="s">
        <v>2555</v>
      </c>
      <c r="N851">
        <v>15</v>
      </c>
      <c r="O851">
        <v>151790.5</v>
      </c>
    </row>
    <row r="852" spans="1:15" x14ac:dyDescent="0.35">
      <c r="A852" t="s">
        <v>15</v>
      </c>
      <c r="B852" t="s">
        <v>16</v>
      </c>
      <c r="C852" t="s">
        <v>61</v>
      </c>
      <c r="D852" t="s">
        <v>1531</v>
      </c>
      <c r="E852" t="s">
        <v>743</v>
      </c>
      <c r="F852" t="s">
        <v>30</v>
      </c>
      <c r="G852" t="s">
        <v>412</v>
      </c>
      <c r="H852" t="s">
        <v>41</v>
      </c>
      <c r="I852" t="s">
        <v>23</v>
      </c>
      <c r="J852" s="1">
        <v>17030</v>
      </c>
      <c r="K852" t="s">
        <v>2556</v>
      </c>
      <c r="L852" t="s">
        <v>2557</v>
      </c>
      <c r="M852" t="s">
        <v>2254</v>
      </c>
      <c r="N852">
        <v>15</v>
      </c>
      <c r="O852">
        <v>170195</v>
      </c>
    </row>
    <row r="853" spans="1:15" x14ac:dyDescent="0.35">
      <c r="A853" t="s">
        <v>15</v>
      </c>
      <c r="B853" t="s">
        <v>16</v>
      </c>
      <c r="C853" t="s">
        <v>61</v>
      </c>
      <c r="D853" t="s">
        <v>371</v>
      </c>
      <c r="E853" t="s">
        <v>688</v>
      </c>
      <c r="F853" t="s">
        <v>39</v>
      </c>
      <c r="G853" t="s">
        <v>204</v>
      </c>
      <c r="H853" t="s">
        <v>22</v>
      </c>
      <c r="I853" t="s">
        <v>23</v>
      </c>
      <c r="J853" s="1">
        <v>865476</v>
      </c>
      <c r="K853" t="s">
        <v>2558</v>
      </c>
      <c r="L853" t="s">
        <v>2559</v>
      </c>
      <c r="M853" t="s">
        <v>2560</v>
      </c>
      <c r="O853">
        <v>72043.5</v>
      </c>
    </row>
    <row r="854" spans="1:15" x14ac:dyDescent="0.35">
      <c r="A854" t="s">
        <v>15</v>
      </c>
      <c r="B854" t="s">
        <v>27</v>
      </c>
      <c r="C854" t="s">
        <v>36</v>
      </c>
      <c r="D854" t="s">
        <v>664</v>
      </c>
      <c r="E854" t="s">
        <v>228</v>
      </c>
      <c r="F854" t="s">
        <v>399</v>
      </c>
      <c r="G854" t="s">
        <v>79</v>
      </c>
      <c r="H854" t="s">
        <v>41</v>
      </c>
      <c r="I854" t="s">
        <v>23</v>
      </c>
      <c r="J854" s="1">
        <v>94580</v>
      </c>
      <c r="K854" t="s">
        <v>2561</v>
      </c>
      <c r="L854" t="s">
        <v>2562</v>
      </c>
      <c r="M854" t="s">
        <v>81</v>
      </c>
      <c r="N854">
        <v>5</v>
      </c>
      <c r="O854">
        <v>260807</v>
      </c>
    </row>
    <row r="855" spans="1:15" x14ac:dyDescent="0.35">
      <c r="A855" t="s">
        <v>75</v>
      </c>
      <c r="B855" t="s">
        <v>16</v>
      </c>
      <c r="C855" t="s">
        <v>61</v>
      </c>
      <c r="D855" t="s">
        <v>1802</v>
      </c>
      <c r="E855" t="s">
        <v>128</v>
      </c>
      <c r="F855" t="s">
        <v>47</v>
      </c>
      <c r="G855" t="s">
        <v>1803</v>
      </c>
      <c r="H855" t="s">
        <v>41</v>
      </c>
      <c r="I855" t="s">
        <v>23</v>
      </c>
      <c r="J855" s="1">
        <v>492215</v>
      </c>
      <c r="K855" t="s">
        <v>2563</v>
      </c>
      <c r="L855" t="s">
        <v>2564</v>
      </c>
      <c r="M855" t="s">
        <v>874</v>
      </c>
      <c r="N855">
        <v>8</v>
      </c>
      <c r="O855">
        <v>20445</v>
      </c>
    </row>
    <row r="856" spans="1:15" x14ac:dyDescent="0.35">
      <c r="A856" t="s">
        <v>15</v>
      </c>
      <c r="B856" t="s">
        <v>16</v>
      </c>
      <c r="C856" t="s">
        <v>17</v>
      </c>
      <c r="D856" t="s">
        <v>18</v>
      </c>
      <c r="E856" t="s">
        <v>2565</v>
      </c>
      <c r="F856" t="s">
        <v>30</v>
      </c>
      <c r="G856" t="s">
        <v>21</v>
      </c>
      <c r="H856" t="s">
        <v>22</v>
      </c>
      <c r="I856" t="s">
        <v>23</v>
      </c>
      <c r="J856" t="s">
        <v>2500</v>
      </c>
      <c r="K856" t="s">
        <v>23</v>
      </c>
      <c r="L856" t="s">
        <v>2566</v>
      </c>
      <c r="M856" t="s">
        <v>2567</v>
      </c>
      <c r="N856">
        <v>15</v>
      </c>
      <c r="O856">
        <v>215268.5</v>
      </c>
    </row>
    <row r="857" spans="1:15" x14ac:dyDescent="0.35">
      <c r="A857" t="s">
        <v>75</v>
      </c>
      <c r="B857" t="s">
        <v>69</v>
      </c>
      <c r="C857" t="s">
        <v>36</v>
      </c>
      <c r="D857" t="s">
        <v>2401</v>
      </c>
      <c r="E857" t="s">
        <v>2044</v>
      </c>
      <c r="F857" t="s">
        <v>125</v>
      </c>
      <c r="G857" t="s">
        <v>2403</v>
      </c>
      <c r="H857" t="s">
        <v>41</v>
      </c>
      <c r="I857" t="s">
        <v>58</v>
      </c>
      <c r="J857" s="1">
        <v>110050</v>
      </c>
      <c r="K857" t="s">
        <v>2568</v>
      </c>
      <c r="L857" t="s">
        <v>2569</v>
      </c>
      <c r="M857" t="s">
        <v>2406</v>
      </c>
      <c r="N857">
        <v>14</v>
      </c>
      <c r="O857">
        <v>172605.5</v>
      </c>
    </row>
    <row r="858" spans="1:15" x14ac:dyDescent="0.35">
      <c r="A858" t="s">
        <v>15</v>
      </c>
      <c r="B858" t="s">
        <v>16</v>
      </c>
      <c r="C858" t="s">
        <v>36</v>
      </c>
      <c r="D858" t="s">
        <v>371</v>
      </c>
      <c r="E858" t="s">
        <v>2570</v>
      </c>
      <c r="F858" t="s">
        <v>203</v>
      </c>
      <c r="G858" t="s">
        <v>204</v>
      </c>
      <c r="H858" t="s">
        <v>22</v>
      </c>
      <c r="I858" t="s">
        <v>23</v>
      </c>
      <c r="J858" s="1">
        <v>865466</v>
      </c>
      <c r="K858" t="s">
        <v>2516</v>
      </c>
      <c r="L858" t="s">
        <v>2571</v>
      </c>
      <c r="M858" t="s">
        <v>2560</v>
      </c>
      <c r="N858">
        <v>25</v>
      </c>
      <c r="O858">
        <v>169733</v>
      </c>
    </row>
    <row r="859" spans="1:15" x14ac:dyDescent="0.35">
      <c r="A859" t="s">
        <v>15</v>
      </c>
      <c r="B859" t="s">
        <v>99</v>
      </c>
      <c r="C859" t="s">
        <v>36</v>
      </c>
      <c r="D859" t="s">
        <v>920</v>
      </c>
      <c r="E859" t="s">
        <v>63</v>
      </c>
      <c r="F859" t="s">
        <v>39</v>
      </c>
      <c r="G859" t="s">
        <v>921</v>
      </c>
      <c r="H859" t="s">
        <v>22</v>
      </c>
      <c r="I859" t="s">
        <v>23</v>
      </c>
      <c r="J859" s="1">
        <v>55090</v>
      </c>
      <c r="K859" t="s">
        <v>2497</v>
      </c>
      <c r="L859" t="s">
        <v>2572</v>
      </c>
      <c r="M859" t="s">
        <v>1726</v>
      </c>
      <c r="O859">
        <v>170380</v>
      </c>
    </row>
    <row r="860" spans="1:15" x14ac:dyDescent="0.35">
      <c r="A860" t="s">
        <v>15</v>
      </c>
      <c r="B860" t="s">
        <v>99</v>
      </c>
      <c r="C860" t="s">
        <v>36</v>
      </c>
      <c r="D860" t="s">
        <v>664</v>
      </c>
      <c r="E860" t="s">
        <v>2573</v>
      </c>
      <c r="F860" t="s">
        <v>113</v>
      </c>
      <c r="G860" t="s">
        <v>79</v>
      </c>
      <c r="H860" t="s">
        <v>41</v>
      </c>
      <c r="I860" t="s">
        <v>23</v>
      </c>
      <c r="J860" s="1">
        <v>94570</v>
      </c>
      <c r="K860" t="s">
        <v>2574</v>
      </c>
      <c r="L860" t="s">
        <v>2575</v>
      </c>
      <c r="M860" t="s">
        <v>118</v>
      </c>
      <c r="N860">
        <v>19</v>
      </c>
      <c r="O860">
        <v>190890.5</v>
      </c>
    </row>
    <row r="861" spans="1:15" x14ac:dyDescent="0.35">
      <c r="A861" t="s">
        <v>15</v>
      </c>
      <c r="B861" t="s">
        <v>16</v>
      </c>
      <c r="C861" t="s">
        <v>36</v>
      </c>
      <c r="D861" t="s">
        <v>371</v>
      </c>
      <c r="E861" t="s">
        <v>268</v>
      </c>
      <c r="F861" t="s">
        <v>39</v>
      </c>
      <c r="G861" t="s">
        <v>204</v>
      </c>
      <c r="H861" t="s">
        <v>22</v>
      </c>
      <c r="I861" t="s">
        <v>23</v>
      </c>
      <c r="J861" s="1">
        <v>865476</v>
      </c>
      <c r="K861" t="s">
        <v>2520</v>
      </c>
      <c r="L861" t="s">
        <v>2576</v>
      </c>
      <c r="M861" t="s">
        <v>2577</v>
      </c>
      <c r="O861">
        <v>170196</v>
      </c>
    </row>
    <row r="862" spans="1:15" x14ac:dyDescent="0.35">
      <c r="A862" t="s">
        <v>15</v>
      </c>
      <c r="B862" t="s">
        <v>16</v>
      </c>
      <c r="C862" t="s">
        <v>36</v>
      </c>
      <c r="D862" t="s">
        <v>371</v>
      </c>
      <c r="E862" t="s">
        <v>2578</v>
      </c>
      <c r="F862" t="s">
        <v>394</v>
      </c>
      <c r="G862" t="s">
        <v>204</v>
      </c>
      <c r="H862" t="s">
        <v>22</v>
      </c>
      <c r="I862" t="s">
        <v>23</v>
      </c>
      <c r="J862" s="1">
        <v>865446</v>
      </c>
      <c r="K862" t="s">
        <v>2579</v>
      </c>
      <c r="L862" t="s">
        <v>2580</v>
      </c>
      <c r="M862" t="s">
        <v>2581</v>
      </c>
      <c r="N862">
        <v>11</v>
      </c>
      <c r="O862">
        <v>169732</v>
      </c>
    </row>
    <row r="863" spans="1:15" x14ac:dyDescent="0.35">
      <c r="A863" t="s">
        <v>75</v>
      </c>
      <c r="B863" t="s">
        <v>99</v>
      </c>
      <c r="C863" t="s">
        <v>61</v>
      </c>
      <c r="D863" t="s">
        <v>1802</v>
      </c>
      <c r="E863" t="s">
        <v>128</v>
      </c>
      <c r="F863" t="s">
        <v>30</v>
      </c>
      <c r="G863" t="s">
        <v>1803</v>
      </c>
      <c r="H863" t="s">
        <v>41</v>
      </c>
      <c r="I863" t="s">
        <v>23</v>
      </c>
      <c r="J863" s="1">
        <v>492255</v>
      </c>
      <c r="K863" t="s">
        <v>2522</v>
      </c>
      <c r="L863" t="s">
        <v>2523</v>
      </c>
      <c r="M863" t="s">
        <v>659</v>
      </c>
      <c r="N863">
        <v>15</v>
      </c>
      <c r="O863">
        <v>18492.5</v>
      </c>
    </row>
    <row r="864" spans="1:15" x14ac:dyDescent="0.35">
      <c r="A864" t="s">
        <v>15</v>
      </c>
      <c r="B864" t="s">
        <v>16</v>
      </c>
      <c r="C864" t="s">
        <v>17</v>
      </c>
      <c r="D864" t="s">
        <v>45</v>
      </c>
      <c r="E864" t="s">
        <v>335</v>
      </c>
      <c r="F864" t="s">
        <v>47</v>
      </c>
      <c r="G864" t="s">
        <v>48</v>
      </c>
      <c r="H864" t="s">
        <v>41</v>
      </c>
      <c r="I864" t="s">
        <v>23</v>
      </c>
      <c r="J864" s="1">
        <v>34670</v>
      </c>
      <c r="K864" t="s">
        <v>2582</v>
      </c>
      <c r="L864" t="s">
        <v>2583</v>
      </c>
      <c r="M864" t="s">
        <v>60</v>
      </c>
      <c r="N864">
        <v>8</v>
      </c>
      <c r="O864">
        <v>40374</v>
      </c>
    </row>
    <row r="865" spans="1:15" x14ac:dyDescent="0.35">
      <c r="A865" t="s">
        <v>75</v>
      </c>
      <c r="B865" t="s">
        <v>99</v>
      </c>
      <c r="C865" t="s">
        <v>61</v>
      </c>
      <c r="D865" t="s">
        <v>1802</v>
      </c>
      <c r="E865" t="s">
        <v>128</v>
      </c>
      <c r="F865" t="s">
        <v>30</v>
      </c>
      <c r="G865" t="s">
        <v>1803</v>
      </c>
      <c r="H865" t="s">
        <v>41</v>
      </c>
      <c r="I865" t="s">
        <v>23</v>
      </c>
      <c r="J865" s="1">
        <v>492215</v>
      </c>
      <c r="K865" t="s">
        <v>2584</v>
      </c>
      <c r="L865" t="s">
        <v>2585</v>
      </c>
      <c r="M865" t="s">
        <v>2413</v>
      </c>
      <c r="N865">
        <v>15</v>
      </c>
      <c r="O865">
        <v>18489.5</v>
      </c>
    </row>
    <row r="866" spans="1:15" x14ac:dyDescent="0.35">
      <c r="A866" t="s">
        <v>15</v>
      </c>
      <c r="B866" t="s">
        <v>99</v>
      </c>
      <c r="C866" t="s">
        <v>36</v>
      </c>
      <c r="D866" t="s">
        <v>371</v>
      </c>
      <c r="E866" t="s">
        <v>268</v>
      </c>
      <c r="F866" t="s">
        <v>2586</v>
      </c>
      <c r="G866" t="s">
        <v>204</v>
      </c>
      <c r="H866" t="s">
        <v>22</v>
      </c>
      <c r="I866" t="s">
        <v>23</v>
      </c>
      <c r="J866" s="1">
        <v>865436</v>
      </c>
      <c r="K866" t="s">
        <v>2587</v>
      </c>
      <c r="L866" t="s">
        <v>2588</v>
      </c>
      <c r="M866" t="s">
        <v>1373</v>
      </c>
      <c r="N866">
        <v>24</v>
      </c>
      <c r="O866">
        <v>165595.5</v>
      </c>
    </row>
    <row r="867" spans="1:15" x14ac:dyDescent="0.35">
      <c r="A867" t="s">
        <v>15</v>
      </c>
      <c r="B867" t="s">
        <v>16</v>
      </c>
      <c r="C867" t="s">
        <v>17</v>
      </c>
      <c r="D867" t="s">
        <v>45</v>
      </c>
      <c r="E867" t="s">
        <v>2589</v>
      </c>
      <c r="F867" t="s">
        <v>244</v>
      </c>
      <c r="G867" t="s">
        <v>48</v>
      </c>
      <c r="H867" t="s">
        <v>41</v>
      </c>
      <c r="I867" t="s">
        <v>23</v>
      </c>
      <c r="J867" s="1">
        <v>34660</v>
      </c>
      <c r="K867" t="s">
        <v>2590</v>
      </c>
      <c r="L867" t="s">
        <v>2591</v>
      </c>
      <c r="M867" t="s">
        <v>2592</v>
      </c>
      <c r="N867">
        <v>2</v>
      </c>
      <c r="O867">
        <v>158235</v>
      </c>
    </row>
    <row r="868" spans="1:15" x14ac:dyDescent="0.35">
      <c r="A868" t="s">
        <v>15</v>
      </c>
      <c r="B868" t="s">
        <v>16</v>
      </c>
      <c r="C868" t="s">
        <v>36</v>
      </c>
      <c r="D868" t="s">
        <v>1736</v>
      </c>
      <c r="E868" t="s">
        <v>743</v>
      </c>
      <c r="F868" t="s">
        <v>399</v>
      </c>
      <c r="G868" t="s">
        <v>412</v>
      </c>
      <c r="H868" t="s">
        <v>41</v>
      </c>
      <c r="I868" t="s">
        <v>23</v>
      </c>
      <c r="J868" s="1">
        <v>258770</v>
      </c>
      <c r="K868" t="s">
        <v>2593</v>
      </c>
      <c r="L868" t="s">
        <v>2594</v>
      </c>
      <c r="M868" t="s">
        <v>51</v>
      </c>
      <c r="N868">
        <v>5</v>
      </c>
      <c r="O868">
        <v>157774</v>
      </c>
    </row>
    <row r="869" spans="1:15" x14ac:dyDescent="0.35">
      <c r="A869" t="s">
        <v>75</v>
      </c>
      <c r="B869" t="s">
        <v>99</v>
      </c>
      <c r="C869" t="s">
        <v>36</v>
      </c>
      <c r="D869" t="s">
        <v>601</v>
      </c>
      <c r="E869" t="s">
        <v>2595</v>
      </c>
      <c r="F869" t="s">
        <v>39</v>
      </c>
      <c r="G869" t="s">
        <v>65</v>
      </c>
      <c r="H869" t="s">
        <v>57</v>
      </c>
      <c r="I869" t="s">
        <v>23</v>
      </c>
      <c r="J869" s="1">
        <v>290770</v>
      </c>
      <c r="K869" t="s">
        <v>2596</v>
      </c>
      <c r="L869" t="s">
        <v>2597</v>
      </c>
      <c r="M869" t="s">
        <v>2252</v>
      </c>
      <c r="O869">
        <v>131552</v>
      </c>
    </row>
    <row r="870" spans="1:15" x14ac:dyDescent="0.35">
      <c r="A870" t="s">
        <v>15</v>
      </c>
      <c r="B870" t="s">
        <v>27</v>
      </c>
      <c r="C870" t="s">
        <v>61</v>
      </c>
      <c r="D870" t="s">
        <v>601</v>
      </c>
      <c r="E870" t="s">
        <v>2598</v>
      </c>
      <c r="F870" t="s">
        <v>39</v>
      </c>
      <c r="G870" t="s">
        <v>65</v>
      </c>
      <c r="H870" t="s">
        <v>57</v>
      </c>
      <c r="I870" t="s">
        <v>23</v>
      </c>
      <c r="J870" s="1">
        <v>290770</v>
      </c>
      <c r="K870" t="s">
        <v>2599</v>
      </c>
      <c r="L870" t="s">
        <v>2600</v>
      </c>
      <c r="M870" t="s">
        <v>605</v>
      </c>
      <c r="O870">
        <v>54950</v>
      </c>
    </row>
    <row r="871" spans="1:15" x14ac:dyDescent="0.35">
      <c r="A871" t="s">
        <v>15</v>
      </c>
      <c r="B871" t="s">
        <v>16</v>
      </c>
      <c r="C871" t="s">
        <v>61</v>
      </c>
      <c r="D871" t="s">
        <v>445</v>
      </c>
      <c r="E871" t="s">
        <v>2601</v>
      </c>
      <c r="F871" t="s">
        <v>513</v>
      </c>
      <c r="G871" t="s">
        <v>446</v>
      </c>
      <c r="H871" t="s">
        <v>41</v>
      </c>
      <c r="I871" t="s">
        <v>23</v>
      </c>
      <c r="J871" s="1">
        <v>524628</v>
      </c>
      <c r="K871" t="s">
        <v>2602</v>
      </c>
      <c r="L871" t="s">
        <v>2603</v>
      </c>
      <c r="M871" t="s">
        <v>2604</v>
      </c>
      <c r="N871">
        <v>22</v>
      </c>
      <c r="O871">
        <v>43179</v>
      </c>
    </row>
    <row r="872" spans="1:15" x14ac:dyDescent="0.35">
      <c r="A872" t="s">
        <v>75</v>
      </c>
      <c r="B872" t="s">
        <v>16</v>
      </c>
      <c r="C872" t="s">
        <v>61</v>
      </c>
      <c r="D872" t="s">
        <v>1802</v>
      </c>
      <c r="E872" t="s">
        <v>128</v>
      </c>
      <c r="F872" t="s">
        <v>47</v>
      </c>
      <c r="G872" t="s">
        <v>1803</v>
      </c>
      <c r="H872" t="s">
        <v>41</v>
      </c>
      <c r="I872" t="s">
        <v>23</v>
      </c>
      <c r="J872" s="1">
        <v>492225</v>
      </c>
      <c r="K872" t="s">
        <v>2563</v>
      </c>
      <c r="L872" t="s">
        <v>2564</v>
      </c>
      <c r="M872" t="s">
        <v>874</v>
      </c>
      <c r="N872">
        <v>8</v>
      </c>
      <c r="O872">
        <v>20445</v>
      </c>
    </row>
    <row r="873" spans="1:15" x14ac:dyDescent="0.35">
      <c r="A873" t="s">
        <v>15</v>
      </c>
      <c r="B873" t="s">
        <v>27</v>
      </c>
      <c r="C873" t="s">
        <v>36</v>
      </c>
      <c r="D873" t="s">
        <v>601</v>
      </c>
      <c r="E873" t="s">
        <v>2249</v>
      </c>
      <c r="F873" t="s">
        <v>431</v>
      </c>
      <c r="G873" t="s">
        <v>65</v>
      </c>
      <c r="H873" t="s">
        <v>57</v>
      </c>
      <c r="I873" t="s">
        <v>23</v>
      </c>
      <c r="J873" s="1">
        <v>290760</v>
      </c>
      <c r="K873" t="s">
        <v>2551</v>
      </c>
      <c r="L873" t="s">
        <v>2605</v>
      </c>
      <c r="M873" t="s">
        <v>256</v>
      </c>
      <c r="N873">
        <v>21</v>
      </c>
      <c r="O873">
        <v>165589</v>
      </c>
    </row>
    <row r="874" spans="1:15" x14ac:dyDescent="0.35">
      <c r="A874" t="s">
        <v>15</v>
      </c>
      <c r="B874" t="s">
        <v>16</v>
      </c>
      <c r="C874" t="s">
        <v>17</v>
      </c>
      <c r="D874" t="s">
        <v>18</v>
      </c>
      <c r="E874" t="s">
        <v>904</v>
      </c>
      <c r="F874" t="s">
        <v>30</v>
      </c>
      <c r="G874" t="s">
        <v>21</v>
      </c>
      <c r="H874" t="s">
        <v>22</v>
      </c>
      <c r="I874" t="s">
        <v>23</v>
      </c>
      <c r="J874" t="s">
        <v>2500</v>
      </c>
      <c r="K874" t="s">
        <v>23</v>
      </c>
      <c r="L874" t="s">
        <v>2606</v>
      </c>
      <c r="M874" t="s">
        <v>2127</v>
      </c>
      <c r="N874">
        <v>15</v>
      </c>
      <c r="O874">
        <v>183991</v>
      </c>
    </row>
    <row r="875" spans="1:15" x14ac:dyDescent="0.35">
      <c r="A875" t="s">
        <v>15</v>
      </c>
      <c r="B875" t="s">
        <v>99</v>
      </c>
      <c r="C875" t="s">
        <v>36</v>
      </c>
      <c r="D875" t="s">
        <v>371</v>
      </c>
      <c r="E875" t="s">
        <v>2607</v>
      </c>
      <c r="F875" t="s">
        <v>39</v>
      </c>
      <c r="G875" t="s">
        <v>204</v>
      </c>
      <c r="H875" t="s">
        <v>22</v>
      </c>
      <c r="I875" t="s">
        <v>23</v>
      </c>
      <c r="J875" s="1">
        <v>865416</v>
      </c>
      <c r="K875" t="s">
        <v>2516</v>
      </c>
      <c r="L875" t="s">
        <v>2608</v>
      </c>
      <c r="M875" t="s">
        <v>2609</v>
      </c>
      <c r="O875">
        <v>171571</v>
      </c>
    </row>
    <row r="876" spans="1:15" x14ac:dyDescent="0.35">
      <c r="A876" t="s">
        <v>75</v>
      </c>
      <c r="B876" t="s">
        <v>99</v>
      </c>
      <c r="C876" t="s">
        <v>61</v>
      </c>
      <c r="D876" t="s">
        <v>1802</v>
      </c>
      <c r="E876" t="s">
        <v>128</v>
      </c>
      <c r="F876" t="s">
        <v>113</v>
      </c>
      <c r="G876" t="s">
        <v>1803</v>
      </c>
      <c r="H876" t="s">
        <v>41</v>
      </c>
      <c r="I876" t="s">
        <v>23</v>
      </c>
      <c r="J876" s="1">
        <v>492235</v>
      </c>
      <c r="K876" t="s">
        <v>2610</v>
      </c>
      <c r="L876" t="s">
        <v>2611</v>
      </c>
      <c r="M876" t="s">
        <v>81</v>
      </c>
      <c r="N876">
        <v>19</v>
      </c>
      <c r="O876">
        <v>18491.5</v>
      </c>
    </row>
    <row r="877" spans="1:15" x14ac:dyDescent="0.35">
      <c r="A877" t="s">
        <v>15</v>
      </c>
      <c r="B877" t="s">
        <v>16</v>
      </c>
      <c r="C877" t="s">
        <v>36</v>
      </c>
      <c r="D877" t="s">
        <v>1736</v>
      </c>
      <c r="E877" t="s">
        <v>763</v>
      </c>
      <c r="F877" t="s">
        <v>47</v>
      </c>
      <c r="G877" t="s">
        <v>412</v>
      </c>
      <c r="H877" t="s">
        <v>41</v>
      </c>
      <c r="I877" t="s">
        <v>23</v>
      </c>
      <c r="J877" s="1">
        <v>258760</v>
      </c>
      <c r="K877" t="s">
        <v>2612</v>
      </c>
      <c r="L877" t="s">
        <v>2613</v>
      </c>
      <c r="M877" t="s">
        <v>51</v>
      </c>
      <c r="N877">
        <v>8</v>
      </c>
      <c r="O877">
        <v>112544</v>
      </c>
    </row>
    <row r="878" spans="1:15" x14ac:dyDescent="0.35">
      <c r="A878" t="s">
        <v>15</v>
      </c>
      <c r="B878" t="s">
        <v>16</v>
      </c>
      <c r="C878" t="s">
        <v>36</v>
      </c>
      <c r="D878" t="s">
        <v>18</v>
      </c>
      <c r="E878" t="s">
        <v>2049</v>
      </c>
      <c r="F878" t="s">
        <v>20</v>
      </c>
      <c r="G878" t="s">
        <v>21</v>
      </c>
      <c r="H878" t="s">
        <v>22</v>
      </c>
      <c r="I878" t="s">
        <v>23</v>
      </c>
      <c r="J878" t="s">
        <v>2500</v>
      </c>
      <c r="K878" t="s">
        <v>23</v>
      </c>
      <c r="L878" t="s">
        <v>2614</v>
      </c>
      <c r="M878" t="s">
        <v>2127</v>
      </c>
      <c r="N878">
        <v>17</v>
      </c>
      <c r="O878">
        <v>197332</v>
      </c>
    </row>
    <row r="879" spans="1:15" x14ac:dyDescent="0.35">
      <c r="A879" t="s">
        <v>15</v>
      </c>
      <c r="B879" t="s">
        <v>99</v>
      </c>
      <c r="C879" t="s">
        <v>36</v>
      </c>
      <c r="D879" t="s">
        <v>1736</v>
      </c>
      <c r="E879" t="s">
        <v>743</v>
      </c>
      <c r="F879" t="s">
        <v>196</v>
      </c>
      <c r="G879" t="s">
        <v>412</v>
      </c>
      <c r="H879" t="s">
        <v>41</v>
      </c>
      <c r="I879" t="s">
        <v>23</v>
      </c>
      <c r="J879" s="1">
        <v>258810</v>
      </c>
      <c r="K879" t="s">
        <v>2531</v>
      </c>
      <c r="L879" t="s">
        <v>2615</v>
      </c>
      <c r="M879" t="s">
        <v>51</v>
      </c>
      <c r="N879">
        <v>7</v>
      </c>
      <c r="O879">
        <v>157770</v>
      </c>
    </row>
    <row r="880" spans="1:15" x14ac:dyDescent="0.35">
      <c r="A880" t="s">
        <v>2258</v>
      </c>
      <c r="B880" t="s">
        <v>16</v>
      </c>
      <c r="C880" t="s">
        <v>36</v>
      </c>
      <c r="D880" t="s">
        <v>371</v>
      </c>
      <c r="E880" t="s">
        <v>268</v>
      </c>
      <c r="F880" t="s">
        <v>64</v>
      </c>
      <c r="G880" t="s">
        <v>204</v>
      </c>
      <c r="H880" t="s">
        <v>22</v>
      </c>
      <c r="I880" t="s">
        <v>23</v>
      </c>
      <c r="J880" s="1">
        <v>865476</v>
      </c>
      <c r="K880" t="s">
        <v>2579</v>
      </c>
      <c r="L880" t="s">
        <v>2576</v>
      </c>
      <c r="M880" t="s">
        <v>1526</v>
      </c>
      <c r="N880">
        <v>3</v>
      </c>
      <c r="O880">
        <v>170196</v>
      </c>
    </row>
    <row r="881" spans="1:15" x14ac:dyDescent="0.35">
      <c r="A881" t="s">
        <v>15</v>
      </c>
      <c r="B881" t="s">
        <v>27</v>
      </c>
      <c r="C881" t="s">
        <v>61</v>
      </c>
      <c r="D881" t="s">
        <v>601</v>
      </c>
      <c r="E881" t="s">
        <v>1814</v>
      </c>
      <c r="F881" t="s">
        <v>113</v>
      </c>
      <c r="G881" t="s">
        <v>65</v>
      </c>
      <c r="H881" t="s">
        <v>57</v>
      </c>
      <c r="I881" t="s">
        <v>23</v>
      </c>
      <c r="J881" s="1">
        <v>290750</v>
      </c>
      <c r="K881" t="s">
        <v>2534</v>
      </c>
      <c r="L881" t="s">
        <v>2616</v>
      </c>
      <c r="M881" t="s">
        <v>60</v>
      </c>
      <c r="N881">
        <v>19</v>
      </c>
      <c r="O881">
        <v>119399.5</v>
      </c>
    </row>
    <row r="882" spans="1:15" x14ac:dyDescent="0.35">
      <c r="A882" t="s">
        <v>15</v>
      </c>
      <c r="B882" t="s">
        <v>27</v>
      </c>
      <c r="C882" t="s">
        <v>36</v>
      </c>
      <c r="D882" t="s">
        <v>664</v>
      </c>
      <c r="E882" t="s">
        <v>77</v>
      </c>
      <c r="F882" t="s">
        <v>277</v>
      </c>
      <c r="G882" t="s">
        <v>79</v>
      </c>
      <c r="H882" t="s">
        <v>41</v>
      </c>
      <c r="I882" t="s">
        <v>23</v>
      </c>
      <c r="J882" s="1">
        <v>94580</v>
      </c>
      <c r="K882" t="s">
        <v>2561</v>
      </c>
      <c r="L882" t="s">
        <v>2617</v>
      </c>
      <c r="M882" t="s">
        <v>118</v>
      </c>
      <c r="N882">
        <v>12</v>
      </c>
      <c r="O882">
        <v>224007</v>
      </c>
    </row>
    <row r="883" spans="1:15" x14ac:dyDescent="0.35">
      <c r="A883" t="s">
        <v>15</v>
      </c>
      <c r="B883" t="s">
        <v>99</v>
      </c>
      <c r="C883" t="s">
        <v>36</v>
      </c>
      <c r="D883" t="s">
        <v>920</v>
      </c>
      <c r="E883" t="s">
        <v>860</v>
      </c>
      <c r="F883" t="s">
        <v>20</v>
      </c>
      <c r="G883" t="s">
        <v>921</v>
      </c>
      <c r="H883" t="s">
        <v>22</v>
      </c>
      <c r="I883" t="s">
        <v>23</v>
      </c>
      <c r="J883" s="1">
        <v>55090</v>
      </c>
      <c r="K883" t="s">
        <v>2540</v>
      </c>
      <c r="L883" t="s">
        <v>2618</v>
      </c>
      <c r="M883" t="s">
        <v>1726</v>
      </c>
      <c r="N883">
        <v>17</v>
      </c>
      <c r="O883">
        <v>170377</v>
      </c>
    </row>
    <row r="884" spans="1:15" x14ac:dyDescent="0.35">
      <c r="A884" t="s">
        <v>15</v>
      </c>
      <c r="B884" t="s">
        <v>27</v>
      </c>
      <c r="C884" t="s">
        <v>36</v>
      </c>
      <c r="D884" t="s">
        <v>920</v>
      </c>
      <c r="E884" t="s">
        <v>63</v>
      </c>
      <c r="F884" t="s">
        <v>431</v>
      </c>
      <c r="G884" t="s">
        <v>921</v>
      </c>
      <c r="H884" t="s">
        <v>22</v>
      </c>
      <c r="I884" t="s">
        <v>23</v>
      </c>
      <c r="J884" s="1">
        <v>55150</v>
      </c>
      <c r="K884" t="s">
        <v>2540</v>
      </c>
      <c r="L884" t="s">
        <v>2619</v>
      </c>
      <c r="M884" t="s">
        <v>2043</v>
      </c>
      <c r="N884">
        <v>21</v>
      </c>
      <c r="O884">
        <v>283481.5</v>
      </c>
    </row>
    <row r="885" spans="1:15" x14ac:dyDescent="0.35">
      <c r="A885" t="s">
        <v>15</v>
      </c>
      <c r="B885" t="s">
        <v>16</v>
      </c>
      <c r="C885" t="s">
        <v>36</v>
      </c>
      <c r="D885" t="s">
        <v>664</v>
      </c>
      <c r="E885" t="s">
        <v>2573</v>
      </c>
      <c r="F885" t="s">
        <v>39</v>
      </c>
      <c r="G885" t="s">
        <v>79</v>
      </c>
      <c r="H885" t="s">
        <v>41</v>
      </c>
      <c r="I885" t="s">
        <v>23</v>
      </c>
      <c r="J885" s="1">
        <v>94560</v>
      </c>
      <c r="K885" t="s">
        <v>2574</v>
      </c>
      <c r="L885" t="s">
        <v>2620</v>
      </c>
      <c r="M885" t="s">
        <v>118</v>
      </c>
      <c r="O885">
        <v>190894.5</v>
      </c>
    </row>
    <row r="886" spans="1:15" x14ac:dyDescent="0.35">
      <c r="A886" t="s">
        <v>15</v>
      </c>
      <c r="B886" t="s">
        <v>16</v>
      </c>
      <c r="C886" t="s">
        <v>61</v>
      </c>
      <c r="D886" t="s">
        <v>1531</v>
      </c>
      <c r="E886" t="s">
        <v>248</v>
      </c>
      <c r="F886" t="s">
        <v>513</v>
      </c>
      <c r="G886" t="s">
        <v>412</v>
      </c>
      <c r="H886" t="s">
        <v>41</v>
      </c>
      <c r="I886" t="s">
        <v>23</v>
      </c>
      <c r="J886" s="1">
        <v>17030</v>
      </c>
      <c r="K886" t="s">
        <v>2621</v>
      </c>
      <c r="L886" t="s">
        <v>2622</v>
      </c>
      <c r="M886" t="s">
        <v>206</v>
      </c>
      <c r="N886">
        <v>22</v>
      </c>
      <c r="O886">
        <v>163752</v>
      </c>
    </row>
    <row r="887" spans="1:15" x14ac:dyDescent="0.35">
      <c r="A887" t="s">
        <v>15</v>
      </c>
      <c r="B887" t="s">
        <v>16</v>
      </c>
      <c r="C887" t="s">
        <v>36</v>
      </c>
      <c r="D887" t="s">
        <v>371</v>
      </c>
      <c r="E887" t="s">
        <v>2623</v>
      </c>
      <c r="F887" t="s">
        <v>39</v>
      </c>
      <c r="G887" t="s">
        <v>204</v>
      </c>
      <c r="H887" t="s">
        <v>22</v>
      </c>
      <c r="I887" t="s">
        <v>23</v>
      </c>
      <c r="J887" s="1">
        <v>865416</v>
      </c>
      <c r="K887" t="s">
        <v>2579</v>
      </c>
      <c r="L887" t="s">
        <v>2624</v>
      </c>
      <c r="M887" t="s">
        <v>1373</v>
      </c>
      <c r="O887">
        <v>156391</v>
      </c>
    </row>
    <row r="888" spans="1:15" x14ac:dyDescent="0.35">
      <c r="A888" t="s">
        <v>15</v>
      </c>
      <c r="B888" t="s">
        <v>27</v>
      </c>
      <c r="C888" t="s">
        <v>36</v>
      </c>
      <c r="D888" t="s">
        <v>920</v>
      </c>
      <c r="E888" t="s">
        <v>63</v>
      </c>
      <c r="F888" t="s">
        <v>39</v>
      </c>
      <c r="G888" t="s">
        <v>921</v>
      </c>
      <c r="H888" t="s">
        <v>22</v>
      </c>
      <c r="I888" t="s">
        <v>23</v>
      </c>
      <c r="J888" s="1">
        <v>55140</v>
      </c>
      <c r="K888" t="s">
        <v>2625</v>
      </c>
      <c r="L888" t="s">
        <v>2626</v>
      </c>
      <c r="M888" t="s">
        <v>1726</v>
      </c>
      <c r="O888">
        <v>207817</v>
      </c>
    </row>
    <row r="889" spans="1:15" x14ac:dyDescent="0.35">
      <c r="A889" t="s">
        <v>15</v>
      </c>
      <c r="B889" t="s">
        <v>16</v>
      </c>
      <c r="C889" t="s">
        <v>61</v>
      </c>
      <c r="D889" t="s">
        <v>445</v>
      </c>
      <c r="E889" t="s">
        <v>688</v>
      </c>
      <c r="F889" t="s">
        <v>30</v>
      </c>
      <c r="G889" t="s">
        <v>446</v>
      </c>
      <c r="H889" t="s">
        <v>41</v>
      </c>
      <c r="I889" t="s">
        <v>23</v>
      </c>
      <c r="J889" s="1">
        <v>524568</v>
      </c>
      <c r="K889" t="s">
        <v>2627</v>
      </c>
      <c r="L889" t="s">
        <v>2628</v>
      </c>
      <c r="M889" t="s">
        <v>1742</v>
      </c>
      <c r="N889">
        <v>15</v>
      </c>
      <c r="O889">
        <v>40276.5</v>
      </c>
    </row>
    <row r="890" spans="1:15" x14ac:dyDescent="0.35">
      <c r="A890" t="s">
        <v>15</v>
      </c>
      <c r="B890" t="s">
        <v>16</v>
      </c>
      <c r="C890" t="s">
        <v>17</v>
      </c>
      <c r="D890" t="s">
        <v>1918</v>
      </c>
      <c r="E890" t="s">
        <v>2128</v>
      </c>
      <c r="F890" t="s">
        <v>312</v>
      </c>
      <c r="G890" t="s">
        <v>921</v>
      </c>
      <c r="H890" t="s">
        <v>41</v>
      </c>
      <c r="I890" t="s">
        <v>23</v>
      </c>
      <c r="J890" s="1">
        <v>27010</v>
      </c>
      <c r="K890" t="s">
        <v>23</v>
      </c>
      <c r="L890" t="s">
        <v>2629</v>
      </c>
      <c r="M890" t="s">
        <v>402</v>
      </c>
      <c r="N890">
        <v>4</v>
      </c>
      <c r="O890">
        <v>149030.5</v>
      </c>
    </row>
    <row r="891" spans="1:15" x14ac:dyDescent="0.35">
      <c r="A891" t="s">
        <v>15</v>
      </c>
      <c r="B891" t="s">
        <v>16</v>
      </c>
      <c r="C891" t="s">
        <v>61</v>
      </c>
      <c r="D891" t="s">
        <v>1531</v>
      </c>
      <c r="E891" t="s">
        <v>248</v>
      </c>
      <c r="F891" t="s">
        <v>78</v>
      </c>
      <c r="G891" t="s">
        <v>412</v>
      </c>
      <c r="H891" t="s">
        <v>41</v>
      </c>
      <c r="I891" t="s">
        <v>23</v>
      </c>
      <c r="J891" s="1">
        <v>17050</v>
      </c>
      <c r="K891" t="s">
        <v>2630</v>
      </c>
      <c r="L891" t="s">
        <v>2631</v>
      </c>
      <c r="M891" t="s">
        <v>206</v>
      </c>
      <c r="N891">
        <v>9</v>
      </c>
      <c r="O891">
        <v>163754</v>
      </c>
    </row>
    <row r="892" spans="1:15" x14ac:dyDescent="0.35">
      <c r="A892" t="s">
        <v>15</v>
      </c>
      <c r="B892" t="s">
        <v>16</v>
      </c>
      <c r="C892" t="s">
        <v>36</v>
      </c>
      <c r="D892" t="s">
        <v>371</v>
      </c>
      <c r="E892" t="s">
        <v>2632</v>
      </c>
      <c r="F892" t="s">
        <v>39</v>
      </c>
      <c r="G892" t="s">
        <v>204</v>
      </c>
      <c r="H892" t="s">
        <v>22</v>
      </c>
      <c r="I892" t="s">
        <v>23</v>
      </c>
      <c r="J892" s="1">
        <v>865416</v>
      </c>
      <c r="K892" t="s">
        <v>2558</v>
      </c>
      <c r="L892" t="s">
        <v>2633</v>
      </c>
      <c r="M892" t="s">
        <v>2577</v>
      </c>
      <c r="O892">
        <v>165591.5</v>
      </c>
    </row>
    <row r="893" spans="1:15" x14ac:dyDescent="0.35">
      <c r="A893" t="s">
        <v>15</v>
      </c>
      <c r="B893" t="s">
        <v>27</v>
      </c>
      <c r="C893" t="s">
        <v>36</v>
      </c>
      <c r="D893" t="s">
        <v>601</v>
      </c>
      <c r="E893" t="s">
        <v>2318</v>
      </c>
      <c r="F893" t="s">
        <v>394</v>
      </c>
      <c r="G893" t="s">
        <v>65</v>
      </c>
      <c r="H893" t="s">
        <v>57</v>
      </c>
      <c r="I893" t="s">
        <v>23</v>
      </c>
      <c r="J893" s="1">
        <v>290780</v>
      </c>
      <c r="K893" t="s">
        <v>2634</v>
      </c>
      <c r="L893" t="s">
        <v>2635</v>
      </c>
      <c r="M893" t="s">
        <v>2636</v>
      </c>
      <c r="N893">
        <v>11</v>
      </c>
      <c r="O893">
        <v>137996</v>
      </c>
    </row>
    <row r="894" spans="1:15" x14ac:dyDescent="0.35">
      <c r="A894" t="s">
        <v>15</v>
      </c>
      <c r="B894" t="s">
        <v>99</v>
      </c>
      <c r="C894" t="s">
        <v>36</v>
      </c>
      <c r="D894" t="s">
        <v>664</v>
      </c>
      <c r="E894" t="s">
        <v>63</v>
      </c>
      <c r="F894" t="s">
        <v>39</v>
      </c>
      <c r="G894" t="s">
        <v>79</v>
      </c>
      <c r="H894" t="s">
        <v>41</v>
      </c>
      <c r="I894" t="s">
        <v>23</v>
      </c>
      <c r="J894" s="1">
        <v>94560</v>
      </c>
      <c r="K894" t="s">
        <v>2637</v>
      </c>
      <c r="L894" t="s">
        <v>2638</v>
      </c>
      <c r="M894" t="s">
        <v>118</v>
      </c>
      <c r="O894">
        <v>160530</v>
      </c>
    </row>
    <row r="895" spans="1:15" x14ac:dyDescent="0.35">
      <c r="A895" t="s">
        <v>75</v>
      </c>
      <c r="B895" t="s">
        <v>16</v>
      </c>
      <c r="C895" t="s">
        <v>61</v>
      </c>
      <c r="D895" t="s">
        <v>1802</v>
      </c>
      <c r="E895" t="s">
        <v>128</v>
      </c>
      <c r="F895" t="s">
        <v>47</v>
      </c>
      <c r="G895" t="s">
        <v>1803</v>
      </c>
      <c r="H895" t="s">
        <v>41</v>
      </c>
      <c r="I895" t="s">
        <v>23</v>
      </c>
      <c r="J895" s="1">
        <v>492215</v>
      </c>
      <c r="K895" t="s">
        <v>2584</v>
      </c>
      <c r="L895" t="s">
        <v>2639</v>
      </c>
      <c r="M895" t="s">
        <v>874</v>
      </c>
      <c r="N895">
        <v>8</v>
      </c>
      <c r="O895">
        <v>20440</v>
      </c>
    </row>
    <row r="896" spans="1:15" x14ac:dyDescent="0.35">
      <c r="A896" t="s">
        <v>15</v>
      </c>
      <c r="B896" t="s">
        <v>16</v>
      </c>
      <c r="C896" t="s">
        <v>36</v>
      </c>
      <c r="D896" t="s">
        <v>371</v>
      </c>
      <c r="E896" t="s">
        <v>2640</v>
      </c>
      <c r="F896" t="s">
        <v>47</v>
      </c>
      <c r="G896" t="s">
        <v>204</v>
      </c>
      <c r="H896" t="s">
        <v>22</v>
      </c>
      <c r="I896" t="s">
        <v>23</v>
      </c>
      <c r="J896" s="1">
        <v>865466</v>
      </c>
      <c r="K896" t="s">
        <v>2641</v>
      </c>
      <c r="L896" t="s">
        <v>2642</v>
      </c>
      <c r="M896" t="s">
        <v>2643</v>
      </c>
      <c r="N896">
        <v>8</v>
      </c>
      <c r="O896">
        <v>165588.5</v>
      </c>
    </row>
    <row r="897" spans="1:15" x14ac:dyDescent="0.35">
      <c r="A897" t="s">
        <v>15</v>
      </c>
      <c r="B897" t="s">
        <v>16</v>
      </c>
      <c r="C897" t="s">
        <v>36</v>
      </c>
      <c r="D897" t="s">
        <v>1736</v>
      </c>
      <c r="E897" t="s">
        <v>743</v>
      </c>
      <c r="F897" t="s">
        <v>399</v>
      </c>
      <c r="G897" t="s">
        <v>412</v>
      </c>
      <c r="H897" t="s">
        <v>41</v>
      </c>
      <c r="I897" t="s">
        <v>23</v>
      </c>
      <c r="J897" s="1">
        <v>258810</v>
      </c>
      <c r="K897" t="s">
        <v>2513</v>
      </c>
      <c r="L897" t="s">
        <v>2644</v>
      </c>
      <c r="M897" t="s">
        <v>51</v>
      </c>
      <c r="N897">
        <v>5</v>
      </c>
      <c r="O897">
        <v>251602</v>
      </c>
    </row>
    <row r="898" spans="1:15" x14ac:dyDescent="0.35">
      <c r="A898" t="s">
        <v>15</v>
      </c>
      <c r="B898" t="s">
        <v>16</v>
      </c>
      <c r="C898" t="s">
        <v>36</v>
      </c>
      <c r="D898" t="s">
        <v>920</v>
      </c>
      <c r="E898" t="s">
        <v>2044</v>
      </c>
      <c r="F898" t="s">
        <v>139</v>
      </c>
      <c r="G898" t="s">
        <v>921</v>
      </c>
      <c r="H898" t="s">
        <v>22</v>
      </c>
      <c r="I898" t="s">
        <v>23</v>
      </c>
      <c r="J898" s="1">
        <v>55110</v>
      </c>
      <c r="K898" t="s">
        <v>2497</v>
      </c>
      <c r="L898" t="s">
        <v>2645</v>
      </c>
      <c r="M898" t="s">
        <v>2046</v>
      </c>
      <c r="N898">
        <v>13</v>
      </c>
      <c r="O898">
        <v>142918</v>
      </c>
    </row>
    <row r="899" spans="1:15" x14ac:dyDescent="0.35">
      <c r="A899" t="s">
        <v>15</v>
      </c>
      <c r="B899" t="s">
        <v>99</v>
      </c>
      <c r="C899" t="s">
        <v>17</v>
      </c>
      <c r="D899" t="s">
        <v>45</v>
      </c>
      <c r="E899" t="s">
        <v>1223</v>
      </c>
      <c r="F899" t="s">
        <v>244</v>
      </c>
      <c r="G899" t="s">
        <v>48</v>
      </c>
      <c r="H899" t="s">
        <v>41</v>
      </c>
      <c r="I899" t="s">
        <v>23</v>
      </c>
      <c r="J899" s="1">
        <v>34650</v>
      </c>
      <c r="K899" t="s">
        <v>2492</v>
      </c>
      <c r="L899" t="s">
        <v>2506</v>
      </c>
      <c r="M899" t="s">
        <v>206</v>
      </c>
      <c r="N899">
        <v>2</v>
      </c>
      <c r="O899">
        <v>154712</v>
      </c>
    </row>
    <row r="900" spans="1:15" x14ac:dyDescent="0.35">
      <c r="A900" t="s">
        <v>15</v>
      </c>
      <c r="B900" t="s">
        <v>16</v>
      </c>
      <c r="C900" t="s">
        <v>36</v>
      </c>
      <c r="D900" t="s">
        <v>371</v>
      </c>
      <c r="E900" t="s">
        <v>2646</v>
      </c>
      <c r="F900" t="s">
        <v>47</v>
      </c>
      <c r="G900" t="s">
        <v>204</v>
      </c>
      <c r="H900" t="s">
        <v>22</v>
      </c>
      <c r="I900" t="s">
        <v>23</v>
      </c>
      <c r="J900" s="1">
        <v>865466</v>
      </c>
      <c r="K900" t="s">
        <v>2641</v>
      </c>
      <c r="L900" t="s">
        <v>2647</v>
      </c>
      <c r="M900" t="s">
        <v>2648</v>
      </c>
      <c r="N900">
        <v>8</v>
      </c>
      <c r="O900">
        <v>169733</v>
      </c>
    </row>
    <row r="901" spans="1:15" x14ac:dyDescent="0.35">
      <c r="A901" t="s">
        <v>15</v>
      </c>
      <c r="B901" t="s">
        <v>16</v>
      </c>
      <c r="C901" t="s">
        <v>36</v>
      </c>
      <c r="D901" t="s">
        <v>664</v>
      </c>
      <c r="E901" t="s">
        <v>855</v>
      </c>
      <c r="F901" t="s">
        <v>196</v>
      </c>
      <c r="G901" t="s">
        <v>79</v>
      </c>
      <c r="H901" t="s">
        <v>41</v>
      </c>
      <c r="I901" t="s">
        <v>23</v>
      </c>
      <c r="J901" s="1">
        <v>94590</v>
      </c>
      <c r="K901" t="s">
        <v>2574</v>
      </c>
      <c r="L901" t="s">
        <v>2649</v>
      </c>
      <c r="M901" t="s">
        <v>2650</v>
      </c>
      <c r="N901">
        <v>7</v>
      </c>
      <c r="O901">
        <v>160532</v>
      </c>
    </row>
    <row r="902" spans="1:15" x14ac:dyDescent="0.35">
      <c r="A902" t="s">
        <v>15</v>
      </c>
      <c r="B902" t="s">
        <v>16</v>
      </c>
      <c r="C902" t="s">
        <v>61</v>
      </c>
      <c r="D902" t="s">
        <v>1736</v>
      </c>
      <c r="E902" t="s">
        <v>128</v>
      </c>
      <c r="F902" t="s">
        <v>856</v>
      </c>
      <c r="G902" t="s">
        <v>412</v>
      </c>
      <c r="H902" t="s">
        <v>41</v>
      </c>
      <c r="I902" t="s">
        <v>23</v>
      </c>
      <c r="J902" s="1">
        <v>258810</v>
      </c>
      <c r="K902" t="s">
        <v>2513</v>
      </c>
      <c r="L902" t="s">
        <v>2651</v>
      </c>
      <c r="M902" t="s">
        <v>51</v>
      </c>
      <c r="N902">
        <v>23</v>
      </c>
      <c r="O902">
        <v>42805</v>
      </c>
    </row>
    <row r="903" spans="1:15" x14ac:dyDescent="0.35">
      <c r="A903" t="s">
        <v>15</v>
      </c>
      <c r="B903" t="s">
        <v>99</v>
      </c>
      <c r="C903" t="s">
        <v>61</v>
      </c>
      <c r="D903" t="s">
        <v>601</v>
      </c>
      <c r="E903" t="s">
        <v>1814</v>
      </c>
      <c r="F903" t="s">
        <v>196</v>
      </c>
      <c r="G903" t="s">
        <v>65</v>
      </c>
      <c r="H903" t="s">
        <v>57</v>
      </c>
      <c r="I903" t="s">
        <v>23</v>
      </c>
      <c r="J903" s="1">
        <v>290800</v>
      </c>
      <c r="K903" t="s">
        <v>2634</v>
      </c>
      <c r="L903" t="s">
        <v>2652</v>
      </c>
      <c r="M903" t="s">
        <v>110</v>
      </c>
      <c r="N903">
        <v>7</v>
      </c>
      <c r="O903">
        <v>97625</v>
      </c>
    </row>
    <row r="904" spans="1:15" x14ac:dyDescent="0.35">
      <c r="A904" t="s">
        <v>15</v>
      </c>
      <c r="B904" t="s">
        <v>16</v>
      </c>
      <c r="C904" t="s">
        <v>61</v>
      </c>
      <c r="D904" t="s">
        <v>1531</v>
      </c>
      <c r="E904" t="s">
        <v>63</v>
      </c>
      <c r="F904" t="s">
        <v>47</v>
      </c>
      <c r="G904" t="s">
        <v>412</v>
      </c>
      <c r="H904" t="s">
        <v>41</v>
      </c>
      <c r="I904" t="s">
        <v>23</v>
      </c>
      <c r="J904" s="1">
        <v>17030</v>
      </c>
      <c r="K904" t="s">
        <v>2653</v>
      </c>
      <c r="L904" t="s">
        <v>2654</v>
      </c>
      <c r="M904" t="s">
        <v>475</v>
      </c>
      <c r="N904">
        <v>8</v>
      </c>
      <c r="O904">
        <v>170193</v>
      </c>
    </row>
    <row r="905" spans="1:15" x14ac:dyDescent="0.35">
      <c r="A905" t="s">
        <v>15</v>
      </c>
      <c r="B905" t="s">
        <v>16</v>
      </c>
      <c r="C905" t="s">
        <v>36</v>
      </c>
      <c r="D905" t="s">
        <v>18</v>
      </c>
      <c r="E905" t="s">
        <v>2125</v>
      </c>
      <c r="F905" t="s">
        <v>20</v>
      </c>
      <c r="G905" t="s">
        <v>21</v>
      </c>
      <c r="H905" t="s">
        <v>22</v>
      </c>
      <c r="I905" t="s">
        <v>23</v>
      </c>
      <c r="J905" t="s">
        <v>2500</v>
      </c>
      <c r="K905" t="s">
        <v>23</v>
      </c>
      <c r="L905" t="s">
        <v>2655</v>
      </c>
      <c r="M905" t="s">
        <v>1950</v>
      </c>
      <c r="N905">
        <v>17</v>
      </c>
      <c r="O905">
        <v>197334</v>
      </c>
    </row>
    <row r="906" spans="1:15" x14ac:dyDescent="0.35">
      <c r="A906" t="s">
        <v>15</v>
      </c>
      <c r="B906" t="s">
        <v>16</v>
      </c>
      <c r="C906" t="s">
        <v>36</v>
      </c>
      <c r="D906" t="s">
        <v>18</v>
      </c>
      <c r="E906" t="s">
        <v>2049</v>
      </c>
      <c r="F906" t="s">
        <v>113</v>
      </c>
      <c r="G906" t="s">
        <v>21</v>
      </c>
      <c r="H906" t="s">
        <v>22</v>
      </c>
      <c r="I906" t="s">
        <v>23</v>
      </c>
      <c r="J906" t="s">
        <v>2500</v>
      </c>
      <c r="K906" t="s">
        <v>23</v>
      </c>
      <c r="L906" t="s">
        <v>2656</v>
      </c>
      <c r="M906" t="s">
        <v>2510</v>
      </c>
      <c r="N906">
        <v>19</v>
      </c>
      <c r="O906">
        <v>161456</v>
      </c>
    </row>
    <row r="907" spans="1:15" x14ac:dyDescent="0.35">
      <c r="A907" t="s">
        <v>15</v>
      </c>
      <c r="B907" t="s">
        <v>69</v>
      </c>
      <c r="C907" t="s">
        <v>36</v>
      </c>
      <c r="D907" t="s">
        <v>2657</v>
      </c>
      <c r="E907" t="s">
        <v>2658</v>
      </c>
      <c r="F907" t="s">
        <v>85</v>
      </c>
      <c r="G907" t="s">
        <v>2659</v>
      </c>
      <c r="H907" t="s">
        <v>41</v>
      </c>
      <c r="I907" t="s">
        <v>23</v>
      </c>
      <c r="J907" s="1">
        <v>49540</v>
      </c>
      <c r="K907" t="s">
        <v>23</v>
      </c>
      <c r="L907" t="s">
        <v>2660</v>
      </c>
      <c r="M907" t="s">
        <v>919</v>
      </c>
      <c r="N907">
        <v>6</v>
      </c>
      <c r="O907">
        <v>22087</v>
      </c>
    </row>
    <row r="908" spans="1:15" x14ac:dyDescent="0.35">
      <c r="A908" t="s">
        <v>15</v>
      </c>
      <c r="B908" t="s">
        <v>27</v>
      </c>
      <c r="C908" t="s">
        <v>36</v>
      </c>
      <c r="D908" t="s">
        <v>1736</v>
      </c>
      <c r="E908" t="s">
        <v>2661</v>
      </c>
      <c r="F908" t="s">
        <v>47</v>
      </c>
      <c r="G908" t="s">
        <v>412</v>
      </c>
      <c r="H908" t="s">
        <v>41</v>
      </c>
      <c r="I908" t="s">
        <v>23</v>
      </c>
      <c r="J908" s="1">
        <v>258770</v>
      </c>
      <c r="K908" t="s">
        <v>2531</v>
      </c>
      <c r="L908" t="s">
        <v>2662</v>
      </c>
      <c r="M908" t="s">
        <v>51</v>
      </c>
      <c r="N908">
        <v>8</v>
      </c>
      <c r="O908">
        <v>224469</v>
      </c>
    </row>
    <row r="909" spans="1:15" x14ac:dyDescent="0.35">
      <c r="A909" t="s">
        <v>75</v>
      </c>
      <c r="B909" t="s">
        <v>16</v>
      </c>
      <c r="C909" t="s">
        <v>17</v>
      </c>
      <c r="D909" t="s">
        <v>45</v>
      </c>
      <c r="E909" t="s">
        <v>776</v>
      </c>
      <c r="F909" t="s">
        <v>39</v>
      </c>
      <c r="G909" t="s">
        <v>48</v>
      </c>
      <c r="H909" t="s">
        <v>41</v>
      </c>
      <c r="I909" t="s">
        <v>23</v>
      </c>
      <c r="J909" s="1">
        <v>34630</v>
      </c>
      <c r="K909" t="s">
        <v>2505</v>
      </c>
      <c r="L909" t="s">
        <v>2663</v>
      </c>
      <c r="M909" t="s">
        <v>2664</v>
      </c>
      <c r="O909">
        <v>235482</v>
      </c>
    </row>
    <row r="910" spans="1:15" x14ac:dyDescent="0.35">
      <c r="A910" t="s">
        <v>15</v>
      </c>
      <c r="B910" t="s">
        <v>16</v>
      </c>
      <c r="C910" t="s">
        <v>36</v>
      </c>
      <c r="D910" t="s">
        <v>18</v>
      </c>
      <c r="E910" t="s">
        <v>2125</v>
      </c>
      <c r="F910" t="s">
        <v>1149</v>
      </c>
      <c r="G910" t="s">
        <v>21</v>
      </c>
      <c r="H910" t="s">
        <v>22</v>
      </c>
      <c r="I910" t="s">
        <v>23</v>
      </c>
      <c r="J910" t="s">
        <v>2500</v>
      </c>
      <c r="K910" t="s">
        <v>23</v>
      </c>
      <c r="L910" t="s">
        <v>2665</v>
      </c>
      <c r="M910" t="s">
        <v>2666</v>
      </c>
      <c r="N910">
        <v>18</v>
      </c>
      <c r="O910">
        <v>151789.5</v>
      </c>
    </row>
    <row r="911" spans="1:15" x14ac:dyDescent="0.35">
      <c r="A911" t="s">
        <v>15</v>
      </c>
      <c r="B911" t="s">
        <v>27</v>
      </c>
      <c r="C911" t="s">
        <v>36</v>
      </c>
      <c r="D911" t="s">
        <v>664</v>
      </c>
      <c r="E911" t="s">
        <v>855</v>
      </c>
      <c r="F911" t="s">
        <v>113</v>
      </c>
      <c r="G911" t="s">
        <v>79</v>
      </c>
      <c r="H911" t="s">
        <v>41</v>
      </c>
      <c r="I911" t="s">
        <v>23</v>
      </c>
      <c r="J911" s="1">
        <v>94590</v>
      </c>
      <c r="K911" t="s">
        <v>2667</v>
      </c>
      <c r="L911" t="s">
        <v>2668</v>
      </c>
      <c r="M911" t="s">
        <v>81</v>
      </c>
      <c r="N911">
        <v>19</v>
      </c>
      <c r="O911">
        <v>260803</v>
      </c>
    </row>
    <row r="912" spans="1:15" x14ac:dyDescent="0.35">
      <c r="A912" t="s">
        <v>15</v>
      </c>
      <c r="B912" t="s">
        <v>16</v>
      </c>
      <c r="C912" t="s">
        <v>36</v>
      </c>
      <c r="D912" t="s">
        <v>1736</v>
      </c>
      <c r="E912" t="s">
        <v>743</v>
      </c>
      <c r="F912" t="s">
        <v>30</v>
      </c>
      <c r="G912" t="s">
        <v>412</v>
      </c>
      <c r="H912" t="s">
        <v>41</v>
      </c>
      <c r="I912" t="s">
        <v>23</v>
      </c>
      <c r="J912" s="1">
        <v>258810</v>
      </c>
      <c r="K912" t="s">
        <v>2669</v>
      </c>
      <c r="L912" t="s">
        <v>2670</v>
      </c>
      <c r="M912" t="s">
        <v>51</v>
      </c>
      <c r="N912">
        <v>15</v>
      </c>
      <c r="O912">
        <v>224466</v>
      </c>
    </row>
    <row r="913" spans="1:15" x14ac:dyDescent="0.35">
      <c r="A913" t="s">
        <v>15</v>
      </c>
      <c r="B913" t="s">
        <v>99</v>
      </c>
      <c r="C913" t="s">
        <v>36</v>
      </c>
      <c r="D913" t="s">
        <v>371</v>
      </c>
      <c r="E913" t="s">
        <v>268</v>
      </c>
      <c r="F913" t="s">
        <v>341</v>
      </c>
      <c r="G913" t="s">
        <v>204</v>
      </c>
      <c r="H913" t="s">
        <v>22</v>
      </c>
      <c r="I913" t="s">
        <v>23</v>
      </c>
      <c r="J913" s="1">
        <v>865446</v>
      </c>
      <c r="K913" t="s">
        <v>2579</v>
      </c>
      <c r="L913" t="s">
        <v>2671</v>
      </c>
      <c r="M913" t="s">
        <v>1373</v>
      </c>
      <c r="N913">
        <v>2</v>
      </c>
      <c r="O913">
        <v>165596.5</v>
      </c>
    </row>
    <row r="914" spans="1:15" x14ac:dyDescent="0.35">
      <c r="A914" t="s">
        <v>15</v>
      </c>
      <c r="B914" t="s">
        <v>16</v>
      </c>
      <c r="C914" t="s">
        <v>36</v>
      </c>
      <c r="D914" t="s">
        <v>1736</v>
      </c>
      <c r="E914" t="s">
        <v>743</v>
      </c>
      <c r="F914" t="s">
        <v>399</v>
      </c>
      <c r="G914" t="s">
        <v>412</v>
      </c>
      <c r="H914" t="s">
        <v>41</v>
      </c>
      <c r="I914" t="s">
        <v>23</v>
      </c>
      <c r="J914" s="1">
        <v>258820</v>
      </c>
      <c r="K914" t="s">
        <v>2513</v>
      </c>
      <c r="L914" t="s">
        <v>2672</v>
      </c>
      <c r="M914" t="s">
        <v>51</v>
      </c>
      <c r="N914">
        <v>5</v>
      </c>
      <c r="O914">
        <v>208825</v>
      </c>
    </row>
    <row r="915" spans="1:15" x14ac:dyDescent="0.35">
      <c r="A915" t="s">
        <v>75</v>
      </c>
      <c r="B915" t="s">
        <v>99</v>
      </c>
      <c r="C915" t="s">
        <v>61</v>
      </c>
      <c r="D915" t="s">
        <v>1802</v>
      </c>
      <c r="E915" t="s">
        <v>128</v>
      </c>
      <c r="F915" t="s">
        <v>513</v>
      </c>
      <c r="G915" t="s">
        <v>1803</v>
      </c>
      <c r="H915" t="s">
        <v>41</v>
      </c>
      <c r="I915" t="s">
        <v>23</v>
      </c>
      <c r="J915" s="1">
        <v>492205</v>
      </c>
      <c r="K915" t="s">
        <v>2563</v>
      </c>
      <c r="L915" t="s">
        <v>2673</v>
      </c>
      <c r="M915" t="s">
        <v>81</v>
      </c>
      <c r="N915">
        <v>22</v>
      </c>
      <c r="O915">
        <v>18490.5</v>
      </c>
    </row>
    <row r="916" spans="1:15" x14ac:dyDescent="0.35">
      <c r="A916" t="s">
        <v>15</v>
      </c>
      <c r="B916" t="s">
        <v>16</v>
      </c>
      <c r="C916" t="s">
        <v>82</v>
      </c>
      <c r="D916" t="s">
        <v>1600</v>
      </c>
      <c r="E916" t="s">
        <v>2674</v>
      </c>
      <c r="F916" t="s">
        <v>399</v>
      </c>
      <c r="G916" t="s">
        <v>1236</v>
      </c>
      <c r="H916" t="s">
        <v>41</v>
      </c>
      <c r="I916" t="s">
        <v>58</v>
      </c>
      <c r="J916" s="1">
        <v>263570</v>
      </c>
      <c r="K916" t="s">
        <v>2675</v>
      </c>
      <c r="L916" t="s">
        <v>2676</v>
      </c>
      <c r="M916" t="s">
        <v>2677</v>
      </c>
      <c r="N916">
        <v>5</v>
      </c>
      <c r="O916">
        <v>60795</v>
      </c>
    </row>
    <row r="917" spans="1:15" x14ac:dyDescent="0.35">
      <c r="A917" t="s">
        <v>15</v>
      </c>
      <c r="B917" t="s">
        <v>16</v>
      </c>
      <c r="C917" t="s">
        <v>36</v>
      </c>
      <c r="D917" t="s">
        <v>920</v>
      </c>
      <c r="E917" t="s">
        <v>2044</v>
      </c>
      <c r="F917" t="s">
        <v>847</v>
      </c>
      <c r="G917" t="s">
        <v>921</v>
      </c>
      <c r="H917" t="s">
        <v>22</v>
      </c>
      <c r="I917" t="s">
        <v>23</v>
      </c>
      <c r="J917" s="1">
        <v>55130</v>
      </c>
      <c r="K917" t="s">
        <v>2625</v>
      </c>
      <c r="L917" t="s">
        <v>2498</v>
      </c>
      <c r="M917" t="s">
        <v>2046</v>
      </c>
      <c r="N917">
        <v>16</v>
      </c>
      <c r="O917">
        <v>170379</v>
      </c>
    </row>
    <row r="918" spans="1:15" x14ac:dyDescent="0.35">
      <c r="A918" t="s">
        <v>15</v>
      </c>
      <c r="B918" t="s">
        <v>27</v>
      </c>
      <c r="C918" t="s">
        <v>61</v>
      </c>
      <c r="D918" t="s">
        <v>703</v>
      </c>
      <c r="E918" t="s">
        <v>2678</v>
      </c>
      <c r="F918" t="s">
        <v>312</v>
      </c>
      <c r="G918" t="s">
        <v>169</v>
      </c>
      <c r="H918" t="s">
        <v>41</v>
      </c>
      <c r="I918" t="s">
        <v>23</v>
      </c>
      <c r="J918" s="1">
        <v>261030</v>
      </c>
      <c r="K918" t="s">
        <v>2679</v>
      </c>
      <c r="L918" t="s">
        <v>2680</v>
      </c>
      <c r="M918" t="s">
        <v>60</v>
      </c>
      <c r="N918">
        <v>4</v>
      </c>
      <c r="O918">
        <v>9657</v>
      </c>
    </row>
    <row r="919" spans="1:15" x14ac:dyDescent="0.35">
      <c r="A919" t="s">
        <v>15</v>
      </c>
      <c r="B919" t="s">
        <v>16</v>
      </c>
      <c r="C919" t="s">
        <v>36</v>
      </c>
      <c r="D919" t="s">
        <v>18</v>
      </c>
      <c r="E919" t="s">
        <v>2661</v>
      </c>
      <c r="F919" t="s">
        <v>20</v>
      </c>
      <c r="G919" t="s">
        <v>21</v>
      </c>
      <c r="H919" t="s">
        <v>22</v>
      </c>
      <c r="I919" t="s">
        <v>23</v>
      </c>
      <c r="J919" t="s">
        <v>2500</v>
      </c>
      <c r="K919" t="s">
        <v>23</v>
      </c>
      <c r="L919" t="s">
        <v>2681</v>
      </c>
      <c r="M919" t="s">
        <v>2127</v>
      </c>
      <c r="N919">
        <v>17</v>
      </c>
      <c r="O919">
        <v>197331</v>
      </c>
    </row>
    <row r="920" spans="1:15" x14ac:dyDescent="0.35">
      <c r="A920" t="s">
        <v>15</v>
      </c>
      <c r="B920" t="s">
        <v>16</v>
      </c>
      <c r="C920" t="s">
        <v>36</v>
      </c>
      <c r="D920" t="s">
        <v>371</v>
      </c>
      <c r="E920" t="s">
        <v>2682</v>
      </c>
      <c r="F920" t="s">
        <v>847</v>
      </c>
      <c r="G920" t="s">
        <v>204</v>
      </c>
      <c r="H920" t="s">
        <v>22</v>
      </c>
      <c r="I920" t="s">
        <v>23</v>
      </c>
      <c r="J920" s="1">
        <v>865476</v>
      </c>
      <c r="K920" t="s">
        <v>2520</v>
      </c>
      <c r="L920" t="s">
        <v>2683</v>
      </c>
      <c r="M920" t="s">
        <v>2684</v>
      </c>
      <c r="N920">
        <v>16</v>
      </c>
      <c r="O920">
        <v>167431</v>
      </c>
    </row>
    <row r="921" spans="1:15" x14ac:dyDescent="0.35">
      <c r="A921" t="s">
        <v>15</v>
      </c>
      <c r="B921" t="s">
        <v>16</v>
      </c>
      <c r="C921" t="s">
        <v>61</v>
      </c>
      <c r="D921" t="s">
        <v>1600</v>
      </c>
      <c r="E921" t="s">
        <v>2685</v>
      </c>
      <c r="F921" t="s">
        <v>939</v>
      </c>
      <c r="G921" t="s">
        <v>1236</v>
      </c>
      <c r="H921" t="s">
        <v>41</v>
      </c>
      <c r="I921" t="s">
        <v>58</v>
      </c>
      <c r="J921" s="1">
        <v>263580</v>
      </c>
      <c r="K921" t="s">
        <v>2686</v>
      </c>
      <c r="L921" t="s">
        <v>2687</v>
      </c>
      <c r="M921" t="s">
        <v>2688</v>
      </c>
      <c r="N921">
        <v>4</v>
      </c>
      <c r="O921">
        <v>102376</v>
      </c>
    </row>
    <row r="922" spans="1:15" x14ac:dyDescent="0.35">
      <c r="A922" t="s">
        <v>15</v>
      </c>
      <c r="B922" t="s">
        <v>16</v>
      </c>
      <c r="C922" t="s">
        <v>17</v>
      </c>
      <c r="D922" t="s">
        <v>45</v>
      </c>
      <c r="E922" t="s">
        <v>776</v>
      </c>
      <c r="F922" t="s">
        <v>39</v>
      </c>
      <c r="G922" t="s">
        <v>48</v>
      </c>
      <c r="H922" t="s">
        <v>41</v>
      </c>
      <c r="I922" t="s">
        <v>23</v>
      </c>
      <c r="J922" s="1">
        <v>34670</v>
      </c>
      <c r="K922" t="s">
        <v>2582</v>
      </c>
      <c r="L922" t="s">
        <v>2689</v>
      </c>
      <c r="M922" t="s">
        <v>475</v>
      </c>
      <c r="O922">
        <v>154710</v>
      </c>
    </row>
    <row r="923" spans="1:15" x14ac:dyDescent="0.35">
      <c r="A923" t="s">
        <v>15</v>
      </c>
      <c r="B923" t="s">
        <v>16</v>
      </c>
      <c r="C923" t="s">
        <v>36</v>
      </c>
      <c r="D923" t="s">
        <v>1736</v>
      </c>
      <c r="E923" t="s">
        <v>2690</v>
      </c>
      <c r="F923" t="s">
        <v>237</v>
      </c>
      <c r="G923" t="s">
        <v>412</v>
      </c>
      <c r="H923" t="s">
        <v>41</v>
      </c>
      <c r="I923" t="s">
        <v>23</v>
      </c>
      <c r="J923" s="1">
        <v>258790</v>
      </c>
      <c r="K923" t="s">
        <v>2612</v>
      </c>
      <c r="L923" t="s">
        <v>2691</v>
      </c>
      <c r="M923" t="s">
        <v>118</v>
      </c>
      <c r="N923">
        <v>20</v>
      </c>
      <c r="O923">
        <v>224472</v>
      </c>
    </row>
    <row r="924" spans="1:15" x14ac:dyDescent="0.35">
      <c r="A924" t="s">
        <v>15</v>
      </c>
      <c r="B924" t="s">
        <v>16</v>
      </c>
      <c r="C924" t="s">
        <v>36</v>
      </c>
      <c r="D924" t="s">
        <v>371</v>
      </c>
      <c r="E924" t="s">
        <v>2692</v>
      </c>
      <c r="F924" t="s">
        <v>196</v>
      </c>
      <c r="G924" t="s">
        <v>204</v>
      </c>
      <c r="H924" t="s">
        <v>22</v>
      </c>
      <c r="I924" t="s">
        <v>23</v>
      </c>
      <c r="J924" s="1">
        <v>865426</v>
      </c>
      <c r="K924" t="s">
        <v>2641</v>
      </c>
      <c r="L924" t="s">
        <v>2693</v>
      </c>
      <c r="M924" t="s">
        <v>2648</v>
      </c>
      <c r="N924">
        <v>7</v>
      </c>
      <c r="O924">
        <v>151797.5</v>
      </c>
    </row>
    <row r="925" spans="1:15" x14ac:dyDescent="0.35">
      <c r="A925" t="s">
        <v>15</v>
      </c>
      <c r="B925" t="s">
        <v>16</v>
      </c>
      <c r="C925" t="s">
        <v>36</v>
      </c>
      <c r="D925" t="s">
        <v>1531</v>
      </c>
      <c r="E925" t="s">
        <v>165</v>
      </c>
      <c r="F925" t="s">
        <v>399</v>
      </c>
      <c r="G925" t="s">
        <v>412</v>
      </c>
      <c r="H925" t="s">
        <v>41</v>
      </c>
      <c r="I925" t="s">
        <v>23</v>
      </c>
      <c r="J925" s="1">
        <v>17020</v>
      </c>
      <c r="K925" t="s">
        <v>2630</v>
      </c>
      <c r="L925" t="s">
        <v>2694</v>
      </c>
      <c r="M925" t="s">
        <v>118</v>
      </c>
      <c r="N925">
        <v>5</v>
      </c>
      <c r="O925">
        <v>168122</v>
      </c>
    </row>
    <row r="926" spans="1:15" x14ac:dyDescent="0.35">
      <c r="A926" t="s">
        <v>15</v>
      </c>
      <c r="B926" t="s">
        <v>16</v>
      </c>
      <c r="C926" t="s">
        <v>36</v>
      </c>
      <c r="D926" t="s">
        <v>601</v>
      </c>
      <c r="E926" t="s">
        <v>2249</v>
      </c>
      <c r="F926" t="s">
        <v>85</v>
      </c>
      <c r="G926" t="s">
        <v>65</v>
      </c>
      <c r="H926" t="s">
        <v>57</v>
      </c>
      <c r="I926" t="s">
        <v>23</v>
      </c>
      <c r="J926" s="1">
        <v>290780</v>
      </c>
      <c r="K926" t="s">
        <v>2695</v>
      </c>
      <c r="L926" t="s">
        <v>2696</v>
      </c>
      <c r="M926" t="s">
        <v>2697</v>
      </c>
      <c r="N926">
        <v>6</v>
      </c>
      <c r="O926">
        <v>163154</v>
      </c>
    </row>
    <row r="927" spans="1:15" x14ac:dyDescent="0.35">
      <c r="A927" t="s">
        <v>15</v>
      </c>
      <c r="B927" t="s">
        <v>99</v>
      </c>
      <c r="C927" t="s">
        <v>36</v>
      </c>
      <c r="D927" t="s">
        <v>601</v>
      </c>
      <c r="E927" t="s">
        <v>602</v>
      </c>
      <c r="F927" t="s">
        <v>85</v>
      </c>
      <c r="G927" t="s">
        <v>65</v>
      </c>
      <c r="H927" t="s">
        <v>57</v>
      </c>
      <c r="I927" t="s">
        <v>23</v>
      </c>
      <c r="J927" s="1">
        <v>290800</v>
      </c>
      <c r="K927" t="s">
        <v>2698</v>
      </c>
      <c r="L927" t="s">
        <v>2699</v>
      </c>
      <c r="M927" t="s">
        <v>2700</v>
      </c>
      <c r="N927">
        <v>6</v>
      </c>
      <c r="O927">
        <v>160993</v>
      </c>
    </row>
    <row r="928" spans="1:15" x14ac:dyDescent="0.35">
      <c r="A928" t="s">
        <v>2258</v>
      </c>
      <c r="B928" t="s">
        <v>16</v>
      </c>
      <c r="C928" t="s">
        <v>61</v>
      </c>
      <c r="D928" t="s">
        <v>371</v>
      </c>
      <c r="E928" t="s">
        <v>2701</v>
      </c>
      <c r="F928" t="s">
        <v>431</v>
      </c>
      <c r="G928" t="s">
        <v>204</v>
      </c>
      <c r="H928" t="s">
        <v>22</v>
      </c>
      <c r="I928" t="s">
        <v>23</v>
      </c>
      <c r="J928" s="1">
        <v>865426</v>
      </c>
      <c r="K928" t="s">
        <v>2520</v>
      </c>
      <c r="L928" t="s">
        <v>2702</v>
      </c>
      <c r="M928" t="s">
        <v>2703</v>
      </c>
      <c r="N928">
        <v>21</v>
      </c>
      <c r="O928">
        <v>126909.5</v>
      </c>
    </row>
    <row r="929" spans="1:15" x14ac:dyDescent="0.35">
      <c r="A929" t="s">
        <v>15</v>
      </c>
      <c r="B929" t="s">
        <v>99</v>
      </c>
      <c r="C929" t="s">
        <v>36</v>
      </c>
      <c r="D929" t="s">
        <v>664</v>
      </c>
      <c r="E929" t="s">
        <v>855</v>
      </c>
      <c r="F929" t="s">
        <v>113</v>
      </c>
      <c r="G929" t="s">
        <v>79</v>
      </c>
      <c r="H929" t="s">
        <v>41</v>
      </c>
      <c r="I929" t="s">
        <v>23</v>
      </c>
      <c r="J929" s="1">
        <v>94580</v>
      </c>
      <c r="K929" t="s">
        <v>2549</v>
      </c>
      <c r="L929" t="s">
        <v>2704</v>
      </c>
      <c r="M929" t="s">
        <v>118</v>
      </c>
      <c r="N929">
        <v>19</v>
      </c>
      <c r="O929">
        <v>190887.5</v>
      </c>
    </row>
    <row r="930" spans="1:15" x14ac:dyDescent="0.35">
      <c r="A930" t="s">
        <v>15</v>
      </c>
      <c r="B930" t="s">
        <v>16</v>
      </c>
      <c r="C930" t="s">
        <v>36</v>
      </c>
      <c r="D930" t="s">
        <v>18</v>
      </c>
      <c r="E930" t="s">
        <v>2049</v>
      </c>
      <c r="F930" t="s">
        <v>20</v>
      </c>
      <c r="G930" t="s">
        <v>21</v>
      </c>
      <c r="H930" t="s">
        <v>22</v>
      </c>
      <c r="I930" t="s">
        <v>23</v>
      </c>
      <c r="J930" t="s">
        <v>2500</v>
      </c>
      <c r="K930" t="s">
        <v>23</v>
      </c>
      <c r="L930" t="s">
        <v>2705</v>
      </c>
      <c r="M930" t="s">
        <v>2127</v>
      </c>
      <c r="N930">
        <v>17</v>
      </c>
      <c r="O930">
        <v>197329</v>
      </c>
    </row>
    <row r="931" spans="1:15" x14ac:dyDescent="0.35">
      <c r="A931" t="s">
        <v>75</v>
      </c>
      <c r="B931" t="s">
        <v>16</v>
      </c>
      <c r="C931" t="s">
        <v>36</v>
      </c>
      <c r="D931" t="s">
        <v>371</v>
      </c>
      <c r="E931" t="s">
        <v>268</v>
      </c>
      <c r="F931" t="s">
        <v>85</v>
      </c>
      <c r="G931" t="s">
        <v>204</v>
      </c>
      <c r="H931" t="s">
        <v>22</v>
      </c>
      <c r="I931" t="s">
        <v>23</v>
      </c>
      <c r="J931" s="1">
        <v>865436</v>
      </c>
      <c r="K931" t="s">
        <v>2587</v>
      </c>
      <c r="L931" t="s">
        <v>2706</v>
      </c>
      <c r="M931" t="s">
        <v>1326</v>
      </c>
      <c r="N931">
        <v>6</v>
      </c>
      <c r="O931">
        <v>165590.5</v>
      </c>
    </row>
    <row r="932" spans="1:15" x14ac:dyDescent="0.35">
      <c r="A932" t="s">
        <v>75</v>
      </c>
      <c r="B932" t="s">
        <v>99</v>
      </c>
      <c r="C932" t="s">
        <v>61</v>
      </c>
      <c r="D932" t="s">
        <v>1802</v>
      </c>
      <c r="E932" t="s">
        <v>2601</v>
      </c>
      <c r="F932" t="s">
        <v>431</v>
      </c>
      <c r="G932" t="s">
        <v>1803</v>
      </c>
      <c r="H932" t="s">
        <v>41</v>
      </c>
      <c r="I932" t="s">
        <v>23</v>
      </c>
      <c r="J932" s="1">
        <v>492245</v>
      </c>
      <c r="K932" t="s">
        <v>2707</v>
      </c>
      <c r="L932" t="s">
        <v>2708</v>
      </c>
      <c r="M932" t="s">
        <v>81</v>
      </c>
      <c r="N932">
        <v>21</v>
      </c>
      <c r="O932">
        <v>18488.5</v>
      </c>
    </row>
    <row r="933" spans="1:15" x14ac:dyDescent="0.35">
      <c r="A933" t="s">
        <v>15</v>
      </c>
      <c r="B933" t="s">
        <v>99</v>
      </c>
      <c r="C933" t="s">
        <v>61</v>
      </c>
      <c r="D933" t="s">
        <v>2401</v>
      </c>
      <c r="E933" t="s">
        <v>646</v>
      </c>
      <c r="F933" t="s">
        <v>39</v>
      </c>
      <c r="G933" t="s">
        <v>2403</v>
      </c>
      <c r="H933" t="s">
        <v>41</v>
      </c>
      <c r="I933" t="s">
        <v>58</v>
      </c>
      <c r="J933" s="1">
        <v>110010</v>
      </c>
      <c r="K933" t="s">
        <v>2709</v>
      </c>
      <c r="L933" t="s">
        <v>2710</v>
      </c>
      <c r="M933" t="s">
        <v>118</v>
      </c>
      <c r="O933">
        <v>80543.5</v>
      </c>
    </row>
    <row r="934" spans="1:15" x14ac:dyDescent="0.35">
      <c r="A934" t="s">
        <v>15</v>
      </c>
      <c r="B934" t="s">
        <v>16</v>
      </c>
      <c r="C934" t="s">
        <v>17</v>
      </c>
      <c r="D934" t="s">
        <v>18</v>
      </c>
      <c r="E934" t="s">
        <v>1912</v>
      </c>
      <c r="F934" t="s">
        <v>1149</v>
      </c>
      <c r="G934" t="s">
        <v>21</v>
      </c>
      <c r="H934" t="s">
        <v>22</v>
      </c>
      <c r="I934" t="s">
        <v>23</v>
      </c>
      <c r="J934" t="s">
        <v>2500</v>
      </c>
      <c r="K934" t="s">
        <v>23</v>
      </c>
      <c r="L934" t="s">
        <v>2711</v>
      </c>
      <c r="M934" t="s">
        <v>2712</v>
      </c>
      <c r="N934">
        <v>18</v>
      </c>
      <c r="O934">
        <v>197327</v>
      </c>
    </row>
    <row r="935" spans="1:15" x14ac:dyDescent="0.35">
      <c r="A935" t="s">
        <v>15</v>
      </c>
      <c r="B935" t="s">
        <v>16</v>
      </c>
      <c r="C935" t="s">
        <v>61</v>
      </c>
      <c r="D935" t="s">
        <v>1531</v>
      </c>
      <c r="E935" t="s">
        <v>743</v>
      </c>
      <c r="F935" t="s">
        <v>47</v>
      </c>
      <c r="G935" t="s">
        <v>412</v>
      </c>
      <c r="H935" t="s">
        <v>41</v>
      </c>
      <c r="I935" t="s">
        <v>23</v>
      </c>
      <c r="J935" s="1">
        <v>17050</v>
      </c>
      <c r="K935" t="s">
        <v>2542</v>
      </c>
      <c r="L935" t="s">
        <v>2557</v>
      </c>
      <c r="M935" t="s">
        <v>1969</v>
      </c>
      <c r="N935">
        <v>8</v>
      </c>
      <c r="O935">
        <v>170195</v>
      </c>
    </row>
    <row r="936" spans="1:15" x14ac:dyDescent="0.35">
      <c r="A936" t="s">
        <v>15</v>
      </c>
      <c r="B936" t="s">
        <v>16</v>
      </c>
      <c r="C936" t="s">
        <v>36</v>
      </c>
      <c r="D936" t="s">
        <v>1736</v>
      </c>
      <c r="E936" t="s">
        <v>2713</v>
      </c>
      <c r="F936" t="s">
        <v>30</v>
      </c>
      <c r="G936" t="s">
        <v>412</v>
      </c>
      <c r="H936" t="s">
        <v>41</v>
      </c>
      <c r="I936" t="s">
        <v>23</v>
      </c>
      <c r="J936" s="1">
        <v>258790</v>
      </c>
      <c r="K936" t="s">
        <v>2714</v>
      </c>
      <c r="L936" t="s">
        <v>2715</v>
      </c>
      <c r="M936" t="s">
        <v>402</v>
      </c>
      <c r="N936">
        <v>15</v>
      </c>
      <c r="O936">
        <v>157769</v>
      </c>
    </row>
    <row r="937" spans="1:15" x14ac:dyDescent="0.35">
      <c r="A937" t="s">
        <v>15</v>
      </c>
      <c r="B937" t="s">
        <v>16</v>
      </c>
      <c r="C937" t="s">
        <v>17</v>
      </c>
      <c r="D937" t="s">
        <v>45</v>
      </c>
      <c r="E937" t="s">
        <v>335</v>
      </c>
      <c r="F937" t="s">
        <v>47</v>
      </c>
      <c r="G937" t="s">
        <v>48</v>
      </c>
      <c r="H937" t="s">
        <v>41</v>
      </c>
      <c r="I937" t="s">
        <v>23</v>
      </c>
      <c r="J937" s="1">
        <v>34650</v>
      </c>
      <c r="K937" t="s">
        <v>2716</v>
      </c>
      <c r="L937" t="s">
        <v>2717</v>
      </c>
      <c r="M937" t="s">
        <v>110</v>
      </c>
      <c r="N937">
        <v>8</v>
      </c>
      <c r="O937">
        <v>35932.5</v>
      </c>
    </row>
    <row r="938" spans="1:15" x14ac:dyDescent="0.35">
      <c r="A938" t="s">
        <v>15</v>
      </c>
      <c r="B938" t="s">
        <v>16</v>
      </c>
      <c r="C938" t="s">
        <v>61</v>
      </c>
      <c r="D938" t="s">
        <v>445</v>
      </c>
      <c r="E938" t="s">
        <v>128</v>
      </c>
      <c r="F938" t="s">
        <v>89</v>
      </c>
      <c r="G938" t="s">
        <v>446</v>
      </c>
      <c r="H938" t="s">
        <v>41</v>
      </c>
      <c r="I938" t="s">
        <v>23</v>
      </c>
      <c r="J938" s="1">
        <v>524598</v>
      </c>
      <c r="K938" t="s">
        <v>2718</v>
      </c>
      <c r="L938" t="s">
        <v>2719</v>
      </c>
      <c r="M938" t="s">
        <v>2720</v>
      </c>
      <c r="O938">
        <v>43184</v>
      </c>
    </row>
    <row r="939" spans="1:15" x14ac:dyDescent="0.35">
      <c r="A939" t="s">
        <v>75</v>
      </c>
      <c r="B939" t="s">
        <v>16</v>
      </c>
      <c r="C939" t="s">
        <v>61</v>
      </c>
      <c r="D939" t="s">
        <v>371</v>
      </c>
      <c r="E939" t="s">
        <v>2721</v>
      </c>
      <c r="F939" t="s">
        <v>39</v>
      </c>
      <c r="G939" t="s">
        <v>204</v>
      </c>
      <c r="H939" t="s">
        <v>22</v>
      </c>
      <c r="I939" t="s">
        <v>23</v>
      </c>
      <c r="J939" s="1">
        <v>865456</v>
      </c>
      <c r="K939" t="s">
        <v>2537</v>
      </c>
      <c r="L939" t="s">
        <v>2722</v>
      </c>
      <c r="M939" t="s">
        <v>1326</v>
      </c>
      <c r="O939">
        <v>64290</v>
      </c>
    </row>
    <row r="940" spans="1:15" x14ac:dyDescent="0.35">
      <c r="A940" t="s">
        <v>15</v>
      </c>
      <c r="B940" t="s">
        <v>99</v>
      </c>
      <c r="C940" t="s">
        <v>36</v>
      </c>
      <c r="D940" t="s">
        <v>920</v>
      </c>
      <c r="E940" t="s">
        <v>860</v>
      </c>
      <c r="F940" t="s">
        <v>394</v>
      </c>
      <c r="G940" t="s">
        <v>921</v>
      </c>
      <c r="H940" t="s">
        <v>22</v>
      </c>
      <c r="I940" t="s">
        <v>23</v>
      </c>
      <c r="J940" s="1">
        <v>55150</v>
      </c>
      <c r="K940" t="s">
        <v>2723</v>
      </c>
      <c r="L940" t="s">
        <v>2724</v>
      </c>
      <c r="M940" t="s">
        <v>924</v>
      </c>
      <c r="N940">
        <v>11</v>
      </c>
      <c r="O940">
        <v>156207</v>
      </c>
    </row>
    <row r="941" spans="1:15" x14ac:dyDescent="0.35">
      <c r="A941" t="s">
        <v>15</v>
      </c>
      <c r="B941" t="s">
        <v>99</v>
      </c>
      <c r="C941" t="s">
        <v>36</v>
      </c>
      <c r="D941" t="s">
        <v>920</v>
      </c>
      <c r="E941" t="s">
        <v>63</v>
      </c>
      <c r="F941" t="s">
        <v>20</v>
      </c>
      <c r="G941" t="s">
        <v>921</v>
      </c>
      <c r="H941" t="s">
        <v>22</v>
      </c>
      <c r="I941" t="s">
        <v>23</v>
      </c>
      <c r="J941" s="1">
        <v>55110</v>
      </c>
      <c r="K941" t="s">
        <v>2540</v>
      </c>
      <c r="L941" t="s">
        <v>2725</v>
      </c>
      <c r="M941" t="s">
        <v>1726</v>
      </c>
      <c r="N941">
        <v>17</v>
      </c>
      <c r="O941">
        <v>170372</v>
      </c>
    </row>
    <row r="942" spans="1:15" x14ac:dyDescent="0.35">
      <c r="A942" t="s">
        <v>15</v>
      </c>
      <c r="B942" t="s">
        <v>16</v>
      </c>
      <c r="C942" t="s">
        <v>36</v>
      </c>
      <c r="D942" t="s">
        <v>1531</v>
      </c>
      <c r="E942" t="s">
        <v>248</v>
      </c>
      <c r="F942" t="s">
        <v>47</v>
      </c>
      <c r="G942" t="s">
        <v>412</v>
      </c>
      <c r="H942" t="s">
        <v>41</v>
      </c>
      <c r="I942" t="s">
        <v>23</v>
      </c>
      <c r="J942" s="1">
        <v>17040</v>
      </c>
      <c r="K942" t="s">
        <v>2621</v>
      </c>
      <c r="L942" t="s">
        <v>2726</v>
      </c>
      <c r="M942" t="s">
        <v>2727</v>
      </c>
      <c r="N942">
        <v>8</v>
      </c>
      <c r="O942">
        <v>198706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B741E-26B6-4817-A859-6BAE07766F75}">
  <dimension ref="A1:M57"/>
  <sheetViews>
    <sheetView topLeftCell="A33" workbookViewId="0">
      <selection activeCell="D67" sqref="D67"/>
    </sheetView>
  </sheetViews>
  <sheetFormatPr defaultRowHeight="14.5" x14ac:dyDescent="0.35"/>
  <cols>
    <col min="1" max="1" width="12.453125" bestFit="1" customWidth="1"/>
    <col min="2" max="2" width="19.6328125" customWidth="1"/>
    <col min="10" max="10" width="16.453125" customWidth="1"/>
    <col min="11" max="11" width="18.1796875" customWidth="1"/>
    <col min="12" max="12" width="12.453125" bestFit="1" customWidth="1"/>
    <col min="13" max="13" width="15.26953125" bestFit="1" customWidth="1"/>
  </cols>
  <sheetData>
    <row r="1" spans="1:13" x14ac:dyDescent="0.35">
      <c r="A1" s="2" t="s">
        <v>2728</v>
      </c>
      <c r="B1" t="s">
        <v>2730</v>
      </c>
      <c r="L1" s="2" t="s">
        <v>2728</v>
      </c>
      <c r="M1" t="s">
        <v>2731</v>
      </c>
    </row>
    <row r="2" spans="1:13" x14ac:dyDescent="0.35">
      <c r="A2" s="3" t="s">
        <v>15</v>
      </c>
      <c r="B2" s="4">
        <v>856</v>
      </c>
      <c r="L2" s="3" t="s">
        <v>128</v>
      </c>
      <c r="M2" s="4">
        <v>52</v>
      </c>
    </row>
    <row r="3" spans="1:13" x14ac:dyDescent="0.35">
      <c r="A3" s="3" t="s">
        <v>75</v>
      </c>
      <c r="B3" s="4">
        <v>80</v>
      </c>
      <c r="L3" s="3" t="s">
        <v>84</v>
      </c>
      <c r="M3" s="4">
        <v>35</v>
      </c>
    </row>
    <row r="4" spans="1:13" x14ac:dyDescent="0.35">
      <c r="A4" s="3" t="s">
        <v>2258</v>
      </c>
      <c r="B4" s="4">
        <v>4</v>
      </c>
      <c r="L4" s="3" t="s">
        <v>228</v>
      </c>
      <c r="M4" s="4">
        <v>22</v>
      </c>
    </row>
    <row r="5" spans="1:13" x14ac:dyDescent="0.35">
      <c r="A5" s="3" t="s">
        <v>534</v>
      </c>
      <c r="B5" s="4">
        <v>1</v>
      </c>
      <c r="L5" s="3" t="s">
        <v>63</v>
      </c>
      <c r="M5" s="4">
        <v>22</v>
      </c>
    </row>
    <row r="6" spans="1:13" x14ac:dyDescent="0.35">
      <c r="A6" s="3" t="s">
        <v>2729</v>
      </c>
      <c r="B6" s="4">
        <v>941</v>
      </c>
      <c r="L6" s="3" t="s">
        <v>54</v>
      </c>
      <c r="M6" s="4">
        <v>18</v>
      </c>
    </row>
    <row r="7" spans="1:13" x14ac:dyDescent="0.35">
      <c r="L7" s="3" t="s">
        <v>165</v>
      </c>
      <c r="M7" s="4">
        <v>17</v>
      </c>
    </row>
    <row r="8" spans="1:13" x14ac:dyDescent="0.35">
      <c r="L8" s="3" t="s">
        <v>743</v>
      </c>
      <c r="M8" s="4">
        <v>17</v>
      </c>
    </row>
    <row r="9" spans="1:13" x14ac:dyDescent="0.35">
      <c r="L9" s="3" t="s">
        <v>2049</v>
      </c>
      <c r="M9" s="4">
        <v>13</v>
      </c>
    </row>
    <row r="10" spans="1:13" x14ac:dyDescent="0.35">
      <c r="L10" s="3" t="s">
        <v>335</v>
      </c>
      <c r="M10" s="4">
        <v>12</v>
      </c>
    </row>
    <row r="11" spans="1:13" x14ac:dyDescent="0.35">
      <c r="L11" s="3" t="s">
        <v>507</v>
      </c>
      <c r="M11" s="4">
        <v>12</v>
      </c>
    </row>
    <row r="12" spans="1:13" x14ac:dyDescent="0.35">
      <c r="L12" s="3" t="s">
        <v>2729</v>
      </c>
      <c r="M12" s="4">
        <v>220</v>
      </c>
    </row>
    <row r="20" spans="1:13" x14ac:dyDescent="0.35">
      <c r="A20" s="2" t="s">
        <v>2728</v>
      </c>
      <c r="B20" t="s">
        <v>2732</v>
      </c>
      <c r="L20" s="2" t="s">
        <v>2728</v>
      </c>
      <c r="M20" t="s">
        <v>2733</v>
      </c>
    </row>
    <row r="21" spans="1:13" x14ac:dyDescent="0.35">
      <c r="A21" s="3" t="s">
        <v>69</v>
      </c>
      <c r="B21" s="4">
        <v>25</v>
      </c>
      <c r="L21" s="3" t="s">
        <v>27</v>
      </c>
      <c r="M21" s="4">
        <v>149482.18260869564</v>
      </c>
    </row>
    <row r="22" spans="1:13" x14ac:dyDescent="0.35">
      <c r="A22" s="3" t="s">
        <v>27</v>
      </c>
      <c r="B22" s="4">
        <v>115</v>
      </c>
      <c r="L22" s="3" t="s">
        <v>16</v>
      </c>
      <c r="M22" s="4">
        <v>135549.15</v>
      </c>
    </row>
    <row r="23" spans="1:13" x14ac:dyDescent="0.35">
      <c r="A23" s="3" t="s">
        <v>99</v>
      </c>
      <c r="B23" s="4">
        <v>111</v>
      </c>
      <c r="L23" s="3" t="s">
        <v>52</v>
      </c>
      <c r="M23" s="4">
        <v>133824.79999999999</v>
      </c>
    </row>
    <row r="24" spans="1:13" x14ac:dyDescent="0.35">
      <c r="A24" s="3" t="s">
        <v>52</v>
      </c>
      <c r="B24" s="4">
        <v>60</v>
      </c>
      <c r="L24" s="3" t="s">
        <v>99</v>
      </c>
      <c r="M24" s="4">
        <v>101261.2072072072</v>
      </c>
    </row>
    <row r="25" spans="1:13" x14ac:dyDescent="0.35">
      <c r="A25" s="3" t="s">
        <v>16</v>
      </c>
      <c r="B25" s="4">
        <v>630</v>
      </c>
      <c r="L25" s="3" t="s">
        <v>69</v>
      </c>
      <c r="M25" s="4">
        <v>87939.74</v>
      </c>
    </row>
    <row r="26" spans="1:13" x14ac:dyDescent="0.35">
      <c r="A26" s="3" t="s">
        <v>2729</v>
      </c>
      <c r="B26" s="4">
        <v>941</v>
      </c>
      <c r="L26" s="3" t="s">
        <v>2729</v>
      </c>
      <c r="M26" s="4">
        <v>131832.50903294366</v>
      </c>
    </row>
    <row r="41" spans="1:12" x14ac:dyDescent="0.35">
      <c r="A41" s="2" t="s">
        <v>2728</v>
      </c>
      <c r="B41" t="s">
        <v>2730</v>
      </c>
      <c r="L41" s="2" t="s">
        <v>2728</v>
      </c>
    </row>
    <row r="42" spans="1:12" x14ac:dyDescent="0.35">
      <c r="A42" s="3">
        <v>9</v>
      </c>
      <c r="B42" s="4">
        <v>11</v>
      </c>
      <c r="L42" s="3" t="s">
        <v>73</v>
      </c>
    </row>
    <row r="43" spans="1:12" x14ac:dyDescent="0.35">
      <c r="A43" s="3">
        <v>10</v>
      </c>
      <c r="B43" s="4">
        <v>11</v>
      </c>
      <c r="L43" s="3" t="s">
        <v>156</v>
      </c>
    </row>
    <row r="44" spans="1:12" x14ac:dyDescent="0.35">
      <c r="A44" s="3">
        <v>11</v>
      </c>
      <c r="B44" s="4">
        <v>12</v>
      </c>
      <c r="L44" s="3" t="s">
        <v>57</v>
      </c>
    </row>
    <row r="45" spans="1:12" x14ac:dyDescent="0.35">
      <c r="A45" s="3">
        <v>12</v>
      </c>
      <c r="B45" s="4">
        <v>12</v>
      </c>
      <c r="L45" s="3" t="s">
        <v>115</v>
      </c>
    </row>
    <row r="46" spans="1:12" x14ac:dyDescent="0.35">
      <c r="A46" s="3">
        <v>13</v>
      </c>
      <c r="B46" s="4">
        <v>13</v>
      </c>
      <c r="L46" s="3" t="s">
        <v>320</v>
      </c>
    </row>
    <row r="47" spans="1:12" x14ac:dyDescent="0.35">
      <c r="A47" s="3">
        <v>16</v>
      </c>
      <c r="B47" s="4">
        <v>15</v>
      </c>
      <c r="L47" s="3" t="s">
        <v>32</v>
      </c>
    </row>
    <row r="48" spans="1:12" x14ac:dyDescent="0.35">
      <c r="A48" s="3">
        <v>17</v>
      </c>
      <c r="B48" s="4">
        <v>13</v>
      </c>
      <c r="L48" s="3" t="s">
        <v>22</v>
      </c>
    </row>
    <row r="49" spans="1:12" x14ac:dyDescent="0.35">
      <c r="A49" s="3">
        <v>18</v>
      </c>
      <c r="B49" s="4">
        <v>17</v>
      </c>
      <c r="L49" s="3" t="s">
        <v>41</v>
      </c>
    </row>
    <row r="50" spans="1:12" x14ac:dyDescent="0.35">
      <c r="A50" s="3">
        <v>19</v>
      </c>
      <c r="B50" s="4">
        <v>17</v>
      </c>
      <c r="L50" s="3" t="s">
        <v>2729</v>
      </c>
    </row>
    <row r="51" spans="1:12" x14ac:dyDescent="0.35">
      <c r="A51" s="3">
        <v>20</v>
      </c>
      <c r="B51" s="4">
        <v>11</v>
      </c>
    </row>
    <row r="52" spans="1:12" x14ac:dyDescent="0.35">
      <c r="A52" s="3">
        <v>21</v>
      </c>
      <c r="B52" s="4">
        <v>27</v>
      </c>
    </row>
    <row r="53" spans="1:12" x14ac:dyDescent="0.35">
      <c r="A53" s="3">
        <v>22</v>
      </c>
      <c r="B53" s="4">
        <v>16</v>
      </c>
    </row>
    <row r="54" spans="1:12" x14ac:dyDescent="0.35">
      <c r="A54" s="3">
        <v>23</v>
      </c>
      <c r="B54" s="4">
        <v>9</v>
      </c>
    </row>
    <row r="55" spans="1:12" x14ac:dyDescent="0.35">
      <c r="A55" s="3">
        <v>24</v>
      </c>
      <c r="B55" s="4">
        <v>1</v>
      </c>
    </row>
    <row r="56" spans="1:12" x14ac:dyDescent="0.35">
      <c r="A56" s="3">
        <v>25</v>
      </c>
      <c r="B56" s="4">
        <v>12</v>
      </c>
    </row>
    <row r="57" spans="1:12" x14ac:dyDescent="0.35">
      <c r="A57" s="3" t="s">
        <v>2729</v>
      </c>
      <c r="B57" s="4">
        <v>197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1D24-D564-4E8D-ACA5-B2177CC3D03C}">
  <dimension ref="A1:Q58"/>
  <sheetViews>
    <sheetView showGridLines="0" tabSelected="1" zoomScale="34" zoomScaleNormal="92" workbookViewId="0">
      <selection activeCell="T15" sqref="T15"/>
    </sheetView>
  </sheetViews>
  <sheetFormatPr defaultRowHeight="14.5" x14ac:dyDescent="0.35"/>
  <cols>
    <col min="7" max="7" width="9.54296875" customWidth="1"/>
  </cols>
  <sheetData>
    <row r="1" spans="1:17" ht="43" x14ac:dyDescent="0.85">
      <c r="A1" s="12" t="s">
        <v>2734</v>
      </c>
      <c r="B1" s="12"/>
      <c r="C1" s="12"/>
      <c r="D1" s="12"/>
      <c r="E1" s="12"/>
      <c r="F1" s="12"/>
      <c r="G1" s="12"/>
      <c r="H1" s="12"/>
      <c r="I1" s="12"/>
      <c r="J1" s="12"/>
      <c r="K1" s="12"/>
      <c r="L1" s="12"/>
      <c r="M1" s="12"/>
      <c r="N1" s="12"/>
      <c r="O1" s="12"/>
      <c r="P1" s="12"/>
      <c r="Q1" s="12"/>
    </row>
    <row r="2" spans="1:17" x14ac:dyDescent="0.35">
      <c r="A2" s="5"/>
      <c r="B2" s="5"/>
      <c r="C2" s="5"/>
      <c r="D2" s="5"/>
      <c r="E2" s="5"/>
      <c r="F2" s="5"/>
      <c r="G2" s="5"/>
      <c r="H2" s="5"/>
      <c r="I2" s="5"/>
      <c r="J2" s="5"/>
      <c r="K2" s="5"/>
      <c r="L2" s="5"/>
      <c r="M2" s="5"/>
      <c r="N2" s="5"/>
      <c r="O2" s="5"/>
      <c r="P2" s="5"/>
      <c r="Q2" s="5"/>
    </row>
    <row r="3" spans="1:17" ht="25" x14ac:dyDescent="0.5">
      <c r="A3" s="5"/>
      <c r="B3" s="10" t="s">
        <v>2735</v>
      </c>
      <c r="C3" s="10"/>
      <c r="D3" s="10"/>
      <c r="E3" s="5"/>
      <c r="F3" s="11" t="s">
        <v>2736</v>
      </c>
      <c r="G3" s="11"/>
      <c r="H3" s="11"/>
      <c r="I3" s="5"/>
      <c r="J3" s="6" t="s">
        <v>2737</v>
      </c>
      <c r="K3" s="6"/>
      <c r="L3" s="6"/>
      <c r="M3" s="5"/>
      <c r="N3" s="6" t="s">
        <v>2738</v>
      </c>
      <c r="O3" s="6"/>
      <c r="P3" s="6"/>
      <c r="Q3" s="5"/>
    </row>
    <row r="4" spans="1:17" ht="14.5" customHeight="1" x14ac:dyDescent="0.35">
      <c r="A4" s="5"/>
      <c r="B4" s="9">
        <f>COUNTA(Raw_Data!A:A)-1</f>
        <v>941</v>
      </c>
      <c r="C4" s="9"/>
      <c r="D4" s="9"/>
      <c r="E4" s="5"/>
      <c r="F4" s="8">
        <f>AVERAGE(Raw_Data!N:N)</f>
        <v>10.233731739707835</v>
      </c>
      <c r="G4" s="8"/>
      <c r="H4" s="8"/>
      <c r="I4" s="5"/>
      <c r="J4" s="7">
        <f>COUNTA(_xlfn.UNIQUE(Raw_Data!D:D))-1</f>
        <v>418</v>
      </c>
      <c r="K4" s="7"/>
      <c r="L4" s="7"/>
      <c r="M4" s="5"/>
      <c r="N4" s="7">
        <f>COUNTIF(Raw_Data!N:N,"&lt;=7")</f>
        <v>346</v>
      </c>
      <c r="O4" s="7"/>
      <c r="P4" s="7"/>
      <c r="Q4" s="5"/>
    </row>
    <row r="5" spans="1:17" ht="14.5" customHeight="1" x14ac:dyDescent="0.35">
      <c r="A5" s="5"/>
      <c r="B5" s="9"/>
      <c r="C5" s="9"/>
      <c r="D5" s="9"/>
      <c r="E5" s="5"/>
      <c r="F5" s="8"/>
      <c r="G5" s="8"/>
      <c r="H5" s="8"/>
      <c r="I5" s="5"/>
      <c r="J5" s="7"/>
      <c r="K5" s="7"/>
      <c r="L5" s="7"/>
      <c r="M5" s="5"/>
      <c r="N5" s="7"/>
      <c r="O5" s="7"/>
      <c r="P5" s="7"/>
      <c r="Q5" s="5"/>
    </row>
    <row r="6" spans="1:17" ht="14.5" customHeight="1" x14ac:dyDescent="0.35">
      <c r="A6" s="5"/>
      <c r="B6" s="9"/>
      <c r="C6" s="9"/>
      <c r="D6" s="9"/>
      <c r="E6" s="5"/>
      <c r="F6" s="8"/>
      <c r="G6" s="8"/>
      <c r="H6" s="8"/>
      <c r="I6" s="5"/>
      <c r="J6" s="7"/>
      <c r="K6" s="7"/>
      <c r="L6" s="7"/>
      <c r="M6" s="5"/>
      <c r="N6" s="7"/>
      <c r="O6" s="7"/>
      <c r="P6" s="7"/>
      <c r="Q6" s="5"/>
    </row>
    <row r="7" spans="1:17" x14ac:dyDescent="0.35">
      <c r="A7" s="5"/>
      <c r="B7" s="5"/>
      <c r="C7" s="5"/>
      <c r="D7" s="5"/>
      <c r="E7" s="5"/>
      <c r="F7" s="5"/>
      <c r="G7" s="5"/>
      <c r="H7" s="5"/>
      <c r="I7" s="5"/>
      <c r="J7" s="5"/>
      <c r="K7" s="5"/>
      <c r="L7" s="5"/>
      <c r="M7" s="5"/>
      <c r="N7" s="5"/>
      <c r="O7" s="5"/>
      <c r="P7" s="5"/>
      <c r="Q7" s="5"/>
    </row>
    <row r="8" spans="1:17" x14ac:dyDescent="0.35">
      <c r="A8" s="5"/>
      <c r="B8" s="5"/>
      <c r="C8" s="5"/>
      <c r="D8" s="5"/>
      <c r="E8" s="5"/>
      <c r="F8" s="5"/>
      <c r="G8" s="5"/>
      <c r="H8" s="5"/>
      <c r="I8" s="5"/>
      <c r="J8" s="5"/>
      <c r="K8" s="5"/>
      <c r="L8" s="5"/>
      <c r="M8" s="5"/>
      <c r="N8" s="5"/>
      <c r="O8" s="5"/>
      <c r="P8" s="5"/>
      <c r="Q8" s="5"/>
    </row>
    <row r="9" spans="1:17" x14ac:dyDescent="0.35">
      <c r="A9" s="5"/>
      <c r="B9" s="5"/>
      <c r="C9" s="5"/>
      <c r="D9" s="5"/>
      <c r="E9" s="5"/>
      <c r="F9" s="5"/>
      <c r="G9" s="5"/>
      <c r="H9" s="5"/>
      <c r="I9" s="5"/>
      <c r="J9" s="5"/>
      <c r="K9" s="5"/>
      <c r="L9" s="5"/>
      <c r="M9" s="5"/>
      <c r="N9" s="5"/>
      <c r="O9" s="5"/>
      <c r="P9" s="5"/>
      <c r="Q9" s="5"/>
    </row>
    <row r="10" spans="1:17" x14ac:dyDescent="0.35">
      <c r="A10" s="5"/>
      <c r="B10" s="5"/>
      <c r="C10" s="5"/>
      <c r="D10" s="5"/>
      <c r="E10" s="5"/>
      <c r="F10" s="5"/>
      <c r="G10" s="5"/>
      <c r="H10" s="5"/>
      <c r="I10" s="5"/>
      <c r="J10" s="5"/>
      <c r="K10" s="5"/>
      <c r="L10" s="5"/>
      <c r="M10" s="5"/>
      <c r="N10" s="5"/>
      <c r="O10" s="5"/>
      <c r="P10" s="5"/>
      <c r="Q10" s="5"/>
    </row>
    <row r="11" spans="1:17" x14ac:dyDescent="0.35">
      <c r="A11" s="5"/>
      <c r="B11" s="5"/>
      <c r="C11" s="5"/>
      <c r="D11" s="5"/>
      <c r="E11" s="5"/>
      <c r="F11" s="5"/>
      <c r="G11" s="5"/>
      <c r="H11" s="5"/>
      <c r="I11" s="5"/>
      <c r="J11" s="5"/>
      <c r="K11" s="5"/>
      <c r="L11" s="5"/>
      <c r="M11" s="5"/>
      <c r="N11" s="5"/>
      <c r="O11" s="5"/>
      <c r="P11" s="5"/>
      <c r="Q11" s="5"/>
    </row>
    <row r="12" spans="1:17" x14ac:dyDescent="0.35">
      <c r="A12" s="5"/>
      <c r="B12" s="5"/>
      <c r="C12" s="5"/>
      <c r="D12" s="5"/>
      <c r="E12" s="5"/>
      <c r="F12" s="5"/>
      <c r="G12" s="5"/>
      <c r="H12" s="5"/>
      <c r="I12" s="5"/>
      <c r="J12" s="5"/>
      <c r="K12" s="5"/>
      <c r="L12" s="5"/>
      <c r="M12" s="5"/>
      <c r="N12" s="5"/>
      <c r="O12" s="5"/>
      <c r="P12" s="5"/>
      <c r="Q12" s="5"/>
    </row>
    <row r="13" spans="1:17" x14ac:dyDescent="0.35">
      <c r="A13" s="5"/>
      <c r="B13" s="5"/>
      <c r="C13" s="5"/>
      <c r="D13" s="5"/>
      <c r="E13" s="5"/>
      <c r="F13" s="5"/>
      <c r="G13" s="5"/>
      <c r="H13" s="5"/>
      <c r="I13" s="5"/>
      <c r="J13" s="5"/>
      <c r="K13" s="5"/>
      <c r="L13" s="5"/>
      <c r="M13" s="5"/>
      <c r="N13" s="5"/>
      <c r="O13" s="5"/>
      <c r="P13" s="5"/>
      <c r="Q13" s="5"/>
    </row>
    <row r="14" spans="1:17" x14ac:dyDescent="0.35">
      <c r="A14" s="5"/>
      <c r="B14" s="5"/>
      <c r="C14" s="5"/>
      <c r="D14" s="5"/>
      <c r="E14" s="5"/>
      <c r="F14" s="5"/>
      <c r="G14" s="5"/>
      <c r="H14" s="5"/>
      <c r="I14" s="5"/>
      <c r="J14" s="5"/>
      <c r="K14" s="5"/>
      <c r="L14" s="5"/>
      <c r="M14" s="5"/>
      <c r="N14" s="5"/>
      <c r="O14" s="5"/>
      <c r="P14" s="5"/>
      <c r="Q14" s="5"/>
    </row>
    <row r="15" spans="1:17" x14ac:dyDescent="0.35">
      <c r="A15" s="5"/>
      <c r="B15" s="5"/>
      <c r="C15" s="5"/>
      <c r="D15" s="5"/>
      <c r="E15" s="5"/>
      <c r="F15" s="5"/>
      <c r="G15" s="5"/>
      <c r="H15" s="5"/>
      <c r="I15" s="5"/>
      <c r="J15" s="5"/>
      <c r="K15" s="5"/>
      <c r="L15" s="5"/>
      <c r="M15" s="5"/>
      <c r="N15" s="5"/>
      <c r="O15" s="5"/>
      <c r="P15" s="5"/>
      <c r="Q15" s="5"/>
    </row>
    <row r="16" spans="1:17" x14ac:dyDescent="0.35">
      <c r="A16" s="5"/>
      <c r="B16" s="5"/>
      <c r="C16" s="5"/>
      <c r="D16" s="5"/>
      <c r="E16" s="5"/>
      <c r="F16" s="5"/>
      <c r="G16" s="5"/>
      <c r="H16" s="5"/>
      <c r="I16" s="5"/>
      <c r="J16" s="5"/>
      <c r="K16" s="5"/>
      <c r="L16" s="5"/>
      <c r="M16" s="5"/>
      <c r="N16" s="5"/>
      <c r="O16" s="5"/>
      <c r="P16" s="5"/>
      <c r="Q16" s="5"/>
    </row>
    <row r="17" spans="1:17" x14ac:dyDescent="0.35">
      <c r="A17" s="5"/>
      <c r="B17" s="5"/>
      <c r="C17" s="5"/>
      <c r="D17" s="5"/>
      <c r="E17" s="5"/>
      <c r="F17" s="5"/>
      <c r="G17" s="5"/>
      <c r="H17" s="5"/>
      <c r="I17" s="5"/>
      <c r="J17" s="5"/>
      <c r="K17" s="5"/>
      <c r="L17" s="5"/>
      <c r="M17" s="5"/>
      <c r="N17" s="5"/>
      <c r="O17" s="5"/>
      <c r="P17" s="5"/>
      <c r="Q17" s="5"/>
    </row>
    <row r="18" spans="1:17" x14ac:dyDescent="0.35">
      <c r="A18" s="5"/>
      <c r="B18" s="5"/>
      <c r="C18" s="5"/>
      <c r="D18" s="5"/>
      <c r="E18" s="5"/>
      <c r="F18" s="5"/>
      <c r="G18" s="5"/>
      <c r="H18" s="5"/>
      <c r="I18" s="5"/>
      <c r="J18" s="5"/>
      <c r="K18" s="5"/>
      <c r="L18" s="5"/>
      <c r="M18" s="5"/>
      <c r="N18" s="5"/>
      <c r="O18" s="5"/>
      <c r="P18" s="5"/>
      <c r="Q18" s="5"/>
    </row>
    <row r="19" spans="1:17" x14ac:dyDescent="0.35">
      <c r="A19" s="5"/>
      <c r="B19" s="5"/>
      <c r="C19" s="5"/>
      <c r="D19" s="5"/>
      <c r="E19" s="5"/>
      <c r="F19" s="5"/>
      <c r="G19" s="5"/>
      <c r="H19" s="5"/>
      <c r="I19" s="5"/>
      <c r="J19" s="5"/>
      <c r="K19" s="5"/>
      <c r="L19" s="5"/>
      <c r="M19" s="5"/>
      <c r="N19" s="5"/>
      <c r="O19" s="5"/>
      <c r="P19" s="5"/>
      <c r="Q19" s="5"/>
    </row>
    <row r="20" spans="1:17" x14ac:dyDescent="0.35">
      <c r="A20" s="5"/>
      <c r="B20" s="5"/>
      <c r="C20" s="5"/>
      <c r="D20" s="5"/>
      <c r="E20" s="5"/>
      <c r="F20" s="5"/>
      <c r="G20" s="5"/>
      <c r="H20" s="5"/>
      <c r="I20" s="5"/>
      <c r="J20" s="5"/>
      <c r="K20" s="5"/>
      <c r="L20" s="5"/>
      <c r="M20" s="5"/>
      <c r="N20" s="5"/>
      <c r="O20" s="5"/>
      <c r="P20" s="5"/>
      <c r="Q20" s="5"/>
    </row>
    <row r="21" spans="1:17" x14ac:dyDescent="0.35">
      <c r="A21" s="5"/>
      <c r="B21" s="5"/>
      <c r="C21" s="5"/>
      <c r="D21" s="5"/>
      <c r="E21" s="5"/>
      <c r="F21" s="5"/>
      <c r="G21" s="5"/>
      <c r="H21" s="5"/>
      <c r="I21" s="5"/>
      <c r="J21" s="5"/>
      <c r="K21" s="5"/>
      <c r="L21" s="5"/>
      <c r="M21" s="5"/>
      <c r="N21" s="5"/>
      <c r="O21" s="5"/>
      <c r="P21" s="5"/>
      <c r="Q21" s="5"/>
    </row>
    <row r="22" spans="1:17" x14ac:dyDescent="0.35">
      <c r="A22" s="5"/>
      <c r="B22" s="5"/>
      <c r="C22" s="5"/>
      <c r="D22" s="5"/>
      <c r="E22" s="5"/>
      <c r="F22" s="5"/>
      <c r="G22" s="5"/>
      <c r="H22" s="5"/>
      <c r="I22" s="5"/>
      <c r="J22" s="5"/>
      <c r="K22" s="5"/>
      <c r="L22" s="5"/>
      <c r="M22" s="5"/>
      <c r="N22" s="5"/>
      <c r="O22" s="5"/>
      <c r="P22" s="5"/>
      <c r="Q22" s="5"/>
    </row>
    <row r="23" spans="1:17" x14ac:dyDescent="0.35">
      <c r="A23" s="5"/>
      <c r="B23" s="5"/>
      <c r="C23" s="5"/>
      <c r="D23" s="5"/>
      <c r="E23" s="5"/>
      <c r="F23" s="5"/>
      <c r="G23" s="5"/>
      <c r="H23" s="5"/>
      <c r="I23" s="5"/>
      <c r="J23" s="5"/>
      <c r="K23" s="5"/>
      <c r="L23" s="5"/>
      <c r="M23" s="5"/>
      <c r="N23" s="5"/>
      <c r="O23" s="5"/>
      <c r="P23" s="5"/>
      <c r="Q23" s="5"/>
    </row>
    <row r="24" spans="1:17" x14ac:dyDescent="0.35">
      <c r="A24" s="5"/>
      <c r="B24" s="5"/>
      <c r="C24" s="5"/>
      <c r="D24" s="5"/>
      <c r="E24" s="5"/>
      <c r="F24" s="5"/>
      <c r="G24" s="5"/>
      <c r="H24" s="5"/>
      <c r="I24" s="5"/>
      <c r="J24" s="5"/>
      <c r="K24" s="5"/>
      <c r="L24" s="5"/>
      <c r="M24" s="5"/>
      <c r="N24" s="5"/>
      <c r="O24" s="5"/>
      <c r="P24" s="5"/>
      <c r="Q24" s="5"/>
    </row>
    <row r="25" spans="1:17" x14ac:dyDescent="0.35">
      <c r="A25" s="5"/>
      <c r="B25" s="5"/>
      <c r="C25" s="5"/>
      <c r="D25" s="5"/>
      <c r="E25" s="5"/>
      <c r="F25" s="5"/>
      <c r="G25" s="5"/>
      <c r="H25" s="5"/>
      <c r="I25" s="5"/>
      <c r="J25" s="5"/>
      <c r="K25" s="5"/>
      <c r="L25" s="5"/>
      <c r="M25" s="5"/>
      <c r="N25" s="5"/>
      <c r="O25" s="5"/>
      <c r="P25" s="5"/>
      <c r="Q25" s="5"/>
    </row>
    <row r="26" spans="1:17" x14ac:dyDescent="0.35">
      <c r="A26" s="5"/>
      <c r="B26" s="5"/>
      <c r="C26" s="5"/>
      <c r="D26" s="5"/>
      <c r="E26" s="5"/>
      <c r="F26" s="5"/>
      <c r="G26" s="5"/>
      <c r="H26" s="5"/>
      <c r="I26" s="5"/>
      <c r="J26" s="5"/>
      <c r="K26" s="5"/>
      <c r="L26" s="5"/>
      <c r="M26" s="5"/>
      <c r="N26" s="5"/>
      <c r="O26" s="5"/>
      <c r="P26" s="5"/>
      <c r="Q26" s="5"/>
    </row>
    <row r="27" spans="1:17" x14ac:dyDescent="0.35">
      <c r="A27" s="5"/>
      <c r="B27" s="5"/>
      <c r="C27" s="5"/>
      <c r="D27" s="5"/>
      <c r="E27" s="5"/>
      <c r="F27" s="5"/>
      <c r="G27" s="5"/>
      <c r="H27" s="5"/>
      <c r="I27" s="5"/>
      <c r="J27" s="5"/>
      <c r="K27" s="5"/>
      <c r="L27" s="5"/>
      <c r="M27" s="5"/>
      <c r="N27" s="5"/>
      <c r="O27" s="5"/>
      <c r="P27" s="5"/>
      <c r="Q27" s="5"/>
    </row>
    <row r="28" spans="1:17" x14ac:dyDescent="0.35">
      <c r="A28" s="5"/>
      <c r="B28" s="5"/>
      <c r="C28" s="5"/>
      <c r="D28" s="5"/>
      <c r="E28" s="5"/>
      <c r="F28" s="5"/>
      <c r="G28" s="5"/>
      <c r="H28" s="5"/>
      <c r="I28" s="5"/>
      <c r="J28" s="5"/>
      <c r="K28" s="5"/>
      <c r="L28" s="5"/>
      <c r="M28" s="5"/>
      <c r="N28" s="5"/>
      <c r="O28" s="5"/>
      <c r="P28" s="5"/>
      <c r="Q28" s="5"/>
    </row>
    <row r="29" spans="1:17" x14ac:dyDescent="0.35">
      <c r="A29" s="5"/>
      <c r="B29" s="5"/>
      <c r="C29" s="5"/>
      <c r="D29" s="5"/>
      <c r="E29" s="5"/>
      <c r="F29" s="5"/>
      <c r="G29" s="5"/>
      <c r="H29" s="5"/>
      <c r="I29" s="5"/>
      <c r="J29" s="5"/>
      <c r="K29" s="5"/>
      <c r="L29" s="5"/>
      <c r="M29" s="5"/>
      <c r="N29" s="5"/>
      <c r="O29" s="5"/>
      <c r="P29" s="5"/>
      <c r="Q29" s="5"/>
    </row>
    <row r="30" spans="1:17" x14ac:dyDescent="0.35">
      <c r="A30" s="5"/>
      <c r="B30" s="5"/>
      <c r="C30" s="5"/>
      <c r="D30" s="5"/>
      <c r="E30" s="5"/>
      <c r="F30" s="5"/>
      <c r="G30" s="5"/>
      <c r="H30" s="5"/>
      <c r="I30" s="5"/>
      <c r="J30" s="5"/>
      <c r="K30" s="5"/>
      <c r="L30" s="5"/>
      <c r="M30" s="5"/>
      <c r="N30" s="5"/>
      <c r="O30" s="5"/>
      <c r="P30" s="5"/>
      <c r="Q30" s="5"/>
    </row>
    <row r="31" spans="1:17" x14ac:dyDescent="0.35">
      <c r="A31" s="5"/>
      <c r="B31" s="5"/>
      <c r="C31" s="5"/>
      <c r="D31" s="5"/>
      <c r="E31" s="5"/>
      <c r="F31" s="5"/>
      <c r="G31" s="5"/>
      <c r="H31" s="5"/>
      <c r="I31" s="5"/>
      <c r="J31" s="5"/>
      <c r="K31" s="5"/>
      <c r="L31" s="5"/>
      <c r="M31" s="5"/>
      <c r="N31" s="5"/>
      <c r="O31" s="5"/>
      <c r="P31" s="5"/>
      <c r="Q31" s="5"/>
    </row>
    <row r="32" spans="1:17" x14ac:dyDescent="0.35">
      <c r="A32" s="5"/>
      <c r="B32" s="5"/>
      <c r="C32" s="5"/>
      <c r="D32" s="5"/>
      <c r="E32" s="5"/>
      <c r="F32" s="5"/>
      <c r="G32" s="5"/>
      <c r="H32" s="5"/>
      <c r="I32" s="5"/>
      <c r="J32" s="5"/>
      <c r="K32" s="5"/>
      <c r="L32" s="5"/>
      <c r="M32" s="5"/>
      <c r="N32" s="5"/>
      <c r="O32" s="5"/>
      <c r="P32" s="5"/>
      <c r="Q32" s="5"/>
    </row>
    <row r="33" spans="1:17" x14ac:dyDescent="0.35">
      <c r="A33" s="5"/>
      <c r="B33" s="5"/>
      <c r="C33" s="5"/>
      <c r="D33" s="5"/>
      <c r="E33" s="5"/>
      <c r="F33" s="5"/>
      <c r="G33" s="5"/>
      <c r="H33" s="5"/>
      <c r="I33" s="5"/>
      <c r="J33" s="5"/>
      <c r="K33" s="5"/>
      <c r="L33" s="5"/>
      <c r="M33" s="5"/>
      <c r="N33" s="5"/>
      <c r="O33" s="5"/>
      <c r="P33" s="5"/>
      <c r="Q33" s="5"/>
    </row>
    <row r="34" spans="1:17" x14ac:dyDescent="0.35">
      <c r="A34" s="5"/>
      <c r="B34" s="5"/>
      <c r="C34" s="5"/>
      <c r="D34" s="5"/>
      <c r="E34" s="5"/>
      <c r="F34" s="5"/>
      <c r="G34" s="5"/>
      <c r="H34" s="5"/>
      <c r="I34" s="5"/>
      <c r="J34" s="5"/>
      <c r="K34" s="5"/>
      <c r="L34" s="5"/>
      <c r="M34" s="5"/>
      <c r="N34" s="5"/>
      <c r="O34" s="5"/>
      <c r="P34" s="5"/>
      <c r="Q34" s="5"/>
    </row>
    <row r="35" spans="1:17" x14ac:dyDescent="0.35">
      <c r="A35" s="5"/>
      <c r="B35" s="5"/>
      <c r="C35" s="5"/>
      <c r="D35" s="5"/>
      <c r="E35" s="5"/>
      <c r="F35" s="5"/>
      <c r="G35" s="5"/>
      <c r="H35" s="5"/>
      <c r="I35" s="5"/>
      <c r="J35" s="5"/>
      <c r="K35" s="5"/>
      <c r="L35" s="5"/>
      <c r="M35" s="5"/>
      <c r="N35" s="5"/>
      <c r="O35" s="5"/>
      <c r="P35" s="5"/>
      <c r="Q35" s="5"/>
    </row>
    <row r="36" spans="1:17" x14ac:dyDescent="0.35">
      <c r="A36" s="5"/>
      <c r="B36" s="5"/>
      <c r="C36" s="5"/>
      <c r="D36" s="5"/>
      <c r="E36" s="5"/>
      <c r="F36" s="5"/>
      <c r="G36" s="5"/>
      <c r="H36" s="5"/>
      <c r="I36" s="5"/>
      <c r="J36" s="5"/>
      <c r="K36" s="5"/>
      <c r="L36" s="5"/>
      <c r="M36" s="5"/>
      <c r="N36" s="5"/>
      <c r="O36" s="5"/>
      <c r="P36" s="5"/>
      <c r="Q36" s="5"/>
    </row>
    <row r="37" spans="1:17" x14ac:dyDescent="0.35">
      <c r="A37" s="5"/>
      <c r="B37" s="5"/>
      <c r="C37" s="5"/>
      <c r="D37" s="5"/>
      <c r="E37" s="5"/>
      <c r="F37" s="5"/>
      <c r="G37" s="5"/>
      <c r="H37" s="5"/>
      <c r="I37" s="5"/>
      <c r="J37" s="5"/>
      <c r="K37" s="5"/>
      <c r="L37" s="5"/>
      <c r="M37" s="5"/>
      <c r="N37" s="5"/>
      <c r="O37" s="5"/>
      <c r="P37" s="5"/>
      <c r="Q37" s="5"/>
    </row>
    <row r="38" spans="1:17" x14ac:dyDescent="0.35">
      <c r="A38" s="5"/>
      <c r="B38" s="5"/>
      <c r="C38" s="5"/>
      <c r="D38" s="5"/>
      <c r="E38" s="5"/>
      <c r="F38" s="5"/>
      <c r="G38" s="5"/>
      <c r="H38" s="5"/>
      <c r="I38" s="5"/>
      <c r="J38" s="5"/>
      <c r="K38" s="5"/>
      <c r="L38" s="5"/>
      <c r="M38" s="5"/>
      <c r="N38" s="5"/>
      <c r="O38" s="5"/>
      <c r="P38" s="5"/>
      <c r="Q38" s="5"/>
    </row>
    <row r="39" spans="1:17" x14ac:dyDescent="0.35">
      <c r="A39" s="5"/>
      <c r="B39" s="5"/>
      <c r="C39" s="5"/>
      <c r="D39" s="5"/>
      <c r="E39" s="5"/>
      <c r="F39" s="5"/>
      <c r="G39" s="5"/>
      <c r="H39" s="5"/>
      <c r="I39" s="5"/>
      <c r="J39" s="5"/>
      <c r="K39" s="5"/>
      <c r="L39" s="5"/>
      <c r="M39" s="5"/>
      <c r="N39" s="5"/>
      <c r="O39" s="5"/>
      <c r="P39" s="5"/>
      <c r="Q39" s="5"/>
    </row>
    <row r="40" spans="1:17" x14ac:dyDescent="0.35">
      <c r="A40" s="5"/>
      <c r="B40" s="5"/>
      <c r="C40" s="5"/>
      <c r="D40" s="5"/>
      <c r="E40" s="5"/>
      <c r="F40" s="5"/>
      <c r="G40" s="5"/>
      <c r="H40" s="5"/>
      <c r="I40" s="5"/>
      <c r="J40" s="5"/>
      <c r="K40" s="5"/>
      <c r="L40" s="5"/>
      <c r="M40" s="5"/>
      <c r="N40" s="5"/>
      <c r="O40" s="5"/>
      <c r="P40" s="5"/>
      <c r="Q40" s="5"/>
    </row>
    <row r="41" spans="1:17" x14ac:dyDescent="0.35">
      <c r="A41" s="5"/>
      <c r="B41" s="5"/>
      <c r="C41" s="5"/>
      <c r="D41" s="5"/>
      <c r="E41" s="5"/>
      <c r="F41" s="5"/>
      <c r="G41" s="5"/>
      <c r="H41" s="5"/>
      <c r="I41" s="5"/>
      <c r="J41" s="5"/>
      <c r="K41" s="5"/>
      <c r="L41" s="5"/>
      <c r="M41" s="5"/>
      <c r="N41" s="5"/>
      <c r="O41" s="5"/>
      <c r="P41" s="5"/>
      <c r="Q41" s="5"/>
    </row>
    <row r="42" spans="1:17" x14ac:dyDescent="0.35">
      <c r="A42" s="5"/>
      <c r="B42" s="5"/>
      <c r="C42" s="5"/>
      <c r="D42" s="5"/>
      <c r="E42" s="5"/>
      <c r="F42" s="5"/>
      <c r="G42" s="5"/>
      <c r="H42" s="5"/>
      <c r="I42" s="5"/>
      <c r="J42" s="5"/>
      <c r="K42" s="5"/>
      <c r="L42" s="5"/>
      <c r="M42" s="5"/>
      <c r="N42" s="5"/>
      <c r="O42" s="5"/>
      <c r="P42" s="5"/>
      <c r="Q42" s="5"/>
    </row>
    <row r="43" spans="1:17" x14ac:dyDescent="0.35">
      <c r="A43" s="5"/>
      <c r="B43" s="5"/>
      <c r="C43" s="5"/>
      <c r="D43" s="5"/>
      <c r="E43" s="5"/>
      <c r="F43" s="5"/>
      <c r="G43" s="5"/>
      <c r="H43" s="5"/>
      <c r="I43" s="5"/>
      <c r="J43" s="5"/>
      <c r="K43" s="5"/>
      <c r="L43" s="5"/>
      <c r="M43" s="5"/>
      <c r="N43" s="5"/>
      <c r="O43" s="5"/>
      <c r="P43" s="5"/>
      <c r="Q43" s="5"/>
    </row>
    <row r="44" spans="1:17" x14ac:dyDescent="0.35">
      <c r="A44" s="5"/>
      <c r="B44" s="5"/>
      <c r="C44" s="5"/>
      <c r="D44" s="5"/>
      <c r="E44" s="5"/>
      <c r="F44" s="5"/>
      <c r="G44" s="5"/>
      <c r="H44" s="5"/>
      <c r="I44" s="5"/>
      <c r="J44" s="5"/>
      <c r="K44" s="5"/>
      <c r="L44" s="5"/>
      <c r="M44" s="5"/>
      <c r="N44" s="5"/>
      <c r="O44" s="5"/>
      <c r="P44" s="5"/>
      <c r="Q44" s="5"/>
    </row>
    <row r="45" spans="1:17" x14ac:dyDescent="0.35">
      <c r="A45" s="5"/>
      <c r="B45" s="5"/>
      <c r="C45" s="5"/>
      <c r="D45" s="5"/>
      <c r="E45" s="5"/>
      <c r="F45" s="5"/>
      <c r="G45" s="5"/>
      <c r="H45" s="5"/>
      <c r="I45" s="5"/>
      <c r="J45" s="5"/>
      <c r="K45" s="5"/>
      <c r="L45" s="5"/>
      <c r="M45" s="5"/>
      <c r="N45" s="5"/>
      <c r="O45" s="5"/>
      <c r="P45" s="5"/>
      <c r="Q45" s="5"/>
    </row>
    <row r="46" spans="1:17" x14ac:dyDescent="0.35">
      <c r="A46" s="5"/>
      <c r="B46" s="5"/>
      <c r="C46" s="5"/>
      <c r="D46" s="5"/>
      <c r="E46" s="5"/>
      <c r="F46" s="5"/>
      <c r="G46" s="5"/>
      <c r="H46" s="5"/>
      <c r="I46" s="5"/>
      <c r="J46" s="5"/>
      <c r="K46" s="5"/>
      <c r="L46" s="5"/>
      <c r="M46" s="5"/>
      <c r="N46" s="5"/>
      <c r="O46" s="5"/>
      <c r="P46" s="5"/>
      <c r="Q46" s="5"/>
    </row>
    <row r="47" spans="1:17" x14ac:dyDescent="0.35">
      <c r="A47" s="5"/>
      <c r="B47" s="5"/>
      <c r="C47" s="5"/>
      <c r="D47" s="5"/>
      <c r="E47" s="5"/>
      <c r="F47" s="5"/>
      <c r="G47" s="5"/>
      <c r="H47" s="5"/>
      <c r="I47" s="5"/>
      <c r="J47" s="5"/>
      <c r="K47" s="5"/>
      <c r="L47" s="5"/>
      <c r="M47" s="5"/>
      <c r="N47" s="5"/>
      <c r="O47" s="5"/>
      <c r="P47" s="5"/>
      <c r="Q47" s="5"/>
    </row>
    <row r="48" spans="1:17" x14ac:dyDescent="0.35">
      <c r="A48" s="5"/>
      <c r="B48" s="5"/>
      <c r="C48" s="5"/>
      <c r="D48" s="5"/>
      <c r="E48" s="5"/>
      <c r="F48" s="5"/>
      <c r="G48" s="5"/>
      <c r="H48" s="5"/>
      <c r="I48" s="5"/>
      <c r="J48" s="5"/>
      <c r="K48" s="5"/>
      <c r="L48" s="5"/>
      <c r="M48" s="5"/>
      <c r="N48" s="5"/>
      <c r="O48" s="5"/>
      <c r="P48" s="5"/>
      <c r="Q48" s="5"/>
    </row>
    <row r="49" spans="1:17" x14ac:dyDescent="0.35">
      <c r="A49" s="5"/>
      <c r="B49" s="5"/>
      <c r="C49" s="5"/>
      <c r="D49" s="5"/>
      <c r="E49" s="5"/>
      <c r="F49" s="5"/>
      <c r="G49" s="5"/>
      <c r="H49" s="5"/>
      <c r="I49" s="5"/>
      <c r="J49" s="5"/>
      <c r="K49" s="5"/>
      <c r="L49" s="5"/>
      <c r="M49" s="5"/>
      <c r="N49" s="5"/>
      <c r="O49" s="5"/>
      <c r="P49" s="5"/>
      <c r="Q49" s="5"/>
    </row>
    <row r="50" spans="1:17" x14ac:dyDescent="0.35">
      <c r="A50" s="5"/>
      <c r="B50" s="5"/>
      <c r="C50" s="5"/>
      <c r="D50" s="5"/>
      <c r="E50" s="5"/>
      <c r="F50" s="5"/>
      <c r="G50" s="5"/>
      <c r="H50" s="5"/>
      <c r="I50" s="5"/>
      <c r="J50" s="5"/>
      <c r="K50" s="5"/>
      <c r="L50" s="5"/>
      <c r="M50" s="5"/>
      <c r="N50" s="5"/>
      <c r="O50" s="5"/>
      <c r="P50" s="5"/>
      <c r="Q50" s="5"/>
    </row>
    <row r="51" spans="1:17" x14ac:dyDescent="0.35">
      <c r="A51" s="5"/>
      <c r="B51" s="5"/>
      <c r="C51" s="5"/>
      <c r="D51" s="5"/>
      <c r="E51" s="5"/>
      <c r="F51" s="5"/>
      <c r="G51" s="5"/>
      <c r="H51" s="5"/>
      <c r="I51" s="5"/>
      <c r="J51" s="5"/>
      <c r="K51" s="5"/>
      <c r="L51" s="5"/>
      <c r="M51" s="5"/>
      <c r="N51" s="5"/>
      <c r="O51" s="5"/>
      <c r="P51" s="5"/>
      <c r="Q51" s="5"/>
    </row>
    <row r="52" spans="1:17" x14ac:dyDescent="0.35">
      <c r="A52" s="5"/>
      <c r="B52" s="5"/>
      <c r="C52" s="5"/>
      <c r="D52" s="5"/>
      <c r="E52" s="5"/>
      <c r="F52" s="5"/>
      <c r="G52" s="5"/>
      <c r="H52" s="5"/>
      <c r="I52" s="5"/>
      <c r="J52" s="5"/>
      <c r="K52" s="5"/>
      <c r="L52" s="5"/>
      <c r="M52" s="5"/>
      <c r="N52" s="5"/>
      <c r="O52" s="5"/>
      <c r="P52" s="5"/>
      <c r="Q52" s="5"/>
    </row>
    <row r="53" spans="1:17" x14ac:dyDescent="0.35">
      <c r="A53" s="5"/>
      <c r="B53" s="5"/>
      <c r="C53" s="5"/>
      <c r="D53" s="5"/>
      <c r="E53" s="5"/>
      <c r="F53" s="5"/>
      <c r="G53" s="5"/>
      <c r="H53" s="5"/>
      <c r="I53" s="5"/>
      <c r="J53" s="5"/>
      <c r="K53" s="5"/>
      <c r="L53" s="5"/>
      <c r="M53" s="5"/>
      <c r="N53" s="5"/>
      <c r="O53" s="5"/>
      <c r="P53" s="5"/>
      <c r="Q53" s="5"/>
    </row>
    <row r="54" spans="1:17" x14ac:dyDescent="0.35">
      <c r="A54" s="5"/>
      <c r="B54" s="5"/>
      <c r="C54" s="5"/>
      <c r="D54" s="5"/>
      <c r="E54" s="5"/>
      <c r="F54" s="5"/>
      <c r="G54" s="5"/>
      <c r="H54" s="5"/>
      <c r="I54" s="5"/>
      <c r="J54" s="5"/>
      <c r="K54" s="5"/>
      <c r="L54" s="5"/>
      <c r="M54" s="5"/>
      <c r="N54" s="5"/>
      <c r="O54" s="5"/>
      <c r="P54" s="5"/>
      <c r="Q54" s="5"/>
    </row>
    <row r="55" spans="1:17" x14ac:dyDescent="0.35">
      <c r="A55" s="5"/>
      <c r="B55" s="5"/>
      <c r="C55" s="5"/>
      <c r="D55" s="5"/>
      <c r="E55" s="5"/>
      <c r="F55" s="5"/>
      <c r="G55" s="5"/>
      <c r="H55" s="5"/>
      <c r="I55" s="5"/>
      <c r="J55" s="5"/>
      <c r="K55" s="5"/>
      <c r="L55" s="5"/>
      <c r="M55" s="5"/>
      <c r="N55" s="5"/>
      <c r="O55" s="5"/>
      <c r="P55" s="5"/>
      <c r="Q55" s="5"/>
    </row>
    <row r="56" spans="1:17" x14ac:dyDescent="0.35">
      <c r="A56" s="5"/>
      <c r="B56" s="5"/>
      <c r="C56" s="5"/>
      <c r="D56" s="5"/>
      <c r="E56" s="5"/>
      <c r="F56" s="5"/>
      <c r="G56" s="5"/>
      <c r="H56" s="5"/>
      <c r="I56" s="5"/>
      <c r="J56" s="5"/>
      <c r="K56" s="5"/>
      <c r="L56" s="5"/>
      <c r="M56" s="5"/>
      <c r="N56" s="5"/>
      <c r="O56" s="5"/>
      <c r="P56" s="5"/>
      <c r="Q56" s="5"/>
    </row>
    <row r="57" spans="1:17" x14ac:dyDescent="0.35">
      <c r="A57" s="5"/>
      <c r="B57" s="5"/>
      <c r="C57" s="5"/>
      <c r="D57" s="5"/>
      <c r="E57" s="5"/>
      <c r="F57" s="5"/>
      <c r="G57" s="5"/>
      <c r="H57" s="5"/>
      <c r="I57" s="5"/>
      <c r="J57" s="5"/>
      <c r="K57" s="5"/>
      <c r="L57" s="5"/>
      <c r="M57" s="5"/>
      <c r="N57" s="5"/>
      <c r="O57" s="5"/>
      <c r="P57" s="5"/>
      <c r="Q57" s="5"/>
    </row>
    <row r="58" spans="1:17" x14ac:dyDescent="0.35">
      <c r="A58" s="5"/>
      <c r="B58" s="5"/>
      <c r="C58" s="5"/>
      <c r="D58" s="5"/>
      <c r="E58" s="5"/>
      <c r="F58" s="5"/>
      <c r="G58" s="5"/>
      <c r="H58" s="5"/>
      <c r="I58" s="5"/>
      <c r="J58" s="5"/>
      <c r="K58" s="5"/>
      <c r="L58" s="5"/>
      <c r="M58" s="5"/>
      <c r="N58" s="5"/>
      <c r="O58" s="5"/>
      <c r="P58" s="5"/>
      <c r="Q58" s="5"/>
    </row>
  </sheetData>
  <mergeCells count="9">
    <mergeCell ref="A1:Q1"/>
    <mergeCell ref="B4:D6"/>
    <mergeCell ref="B3:D3"/>
    <mergeCell ref="F3:H3"/>
    <mergeCell ref="F4:H6"/>
    <mergeCell ref="J3:L3"/>
    <mergeCell ref="J4:L6"/>
    <mergeCell ref="N3:P3"/>
    <mergeCell ref="N4:P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cleaned_job_market_2025</vt:lpstr>
      <vt:lpstr>Raw_Data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gayatri chavhan</dc:creator>
  <cp:lastModifiedBy>gayatri chavhan</cp:lastModifiedBy>
  <dcterms:created xsi:type="dcterms:W3CDTF">2026-05-19T17:40:16Z</dcterms:created>
  <dcterms:modified xsi:type="dcterms:W3CDTF">2026-05-19T17:44:30Z</dcterms:modified>
</cp:coreProperties>
</file>